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Tabela dinâmica 4" sheetId="2" r:id="rId6"/>
    <sheet state="visible" name="Tabela dinâmica 3" sheetId="3" r:id="rId7"/>
    <sheet state="visible" name="Tabela dinâmica 2" sheetId="4" r:id="rId8"/>
    <sheet state="visible" name="Tabela dinâmica 1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<sst xmlns="http://schemas.openxmlformats.org/spreadsheetml/2006/main" count="72" uniqueCount="53">
  <si>
    <t>Produto</t>
  </si>
  <si>
    <t>Marca</t>
  </si>
  <si>
    <t>Preco</t>
  </si>
  <si>
    <t>Unidade</t>
  </si>
  <si>
    <t>Situação</t>
  </si>
  <si>
    <t>Arroz Tio Gosto</t>
  </si>
  <si>
    <t>Tio Gosto</t>
  </si>
  <si>
    <t>5kg</t>
  </si>
  <si>
    <t>Total de produtos</t>
  </si>
  <si>
    <t>Preço médio</t>
  </si>
  <si>
    <t>Mais caro</t>
  </si>
  <si>
    <t>mais barato</t>
  </si>
  <si>
    <t>Acima de R$ 20</t>
  </si>
  <si>
    <t>Bisnaguinha Pullman</t>
  </si>
  <si>
    <t>Pullman</t>
  </si>
  <si>
    <t>280g</t>
  </si>
  <si>
    <t>Refrigerante Guaraná Antarctica</t>
  </si>
  <si>
    <t>Antarctica</t>
  </si>
  <si>
    <t>2L</t>
  </si>
  <si>
    <t>Café Pilão</t>
  </si>
  <si>
    <t>Pilão</t>
  </si>
  <si>
    <t>500g</t>
  </si>
  <si>
    <t>Maionese Hellmanns</t>
  </si>
  <si>
    <t>Hellmanns</t>
  </si>
  <si>
    <t>Linguiça Toscana Seara</t>
  </si>
  <si>
    <t>Seara</t>
  </si>
  <si>
    <t>600g</t>
  </si>
  <si>
    <t>Lasanha Sadia</t>
  </si>
  <si>
    <t>Sadia</t>
  </si>
  <si>
    <t>Margarina Delícia</t>
  </si>
  <si>
    <t>Delícia</t>
  </si>
  <si>
    <t>Suco de Uva Aurora</t>
  </si>
  <si>
    <t>Aurora</t>
  </si>
  <si>
    <t>1L</t>
  </si>
  <si>
    <t>Cerveja Brahma</t>
  </si>
  <si>
    <t>Brahma</t>
  </si>
  <si>
    <t>12 latas</t>
  </si>
  <si>
    <t>Cif Profissional</t>
  </si>
  <si>
    <t>Cif</t>
  </si>
  <si>
    <t>2.4kg</t>
  </si>
  <si>
    <t>Amaciante Comfort</t>
  </si>
  <si>
    <t>Comfort</t>
  </si>
  <si>
    <t>1.5L</t>
  </si>
  <si>
    <t>Macarrão Renata</t>
  </si>
  <si>
    <t>Renata</t>
  </si>
  <si>
    <t>Coluna Preco agrupada</t>
  </si>
  <si>
    <t>COUNTA de Produto</t>
  </si>
  <si>
    <t>R$ 0,00 - R$ 10,00</t>
  </si>
  <si>
    <t>R$ 10,00 - R$ 20,00</t>
  </si>
  <si>
    <t>R$ 20,00 - R$ 30,00</t>
  </si>
  <si>
    <t>R$ 30,00 - R$ 40,00</t>
  </si>
  <si>
    <t>Total geral</t>
  </si>
  <si>
    <t>MEDIAN de Preco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</si>
</sst>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0"/>
    </xf>
    <xf borderId="4" fillId="0" fontId="3" numFmtId="164" xfId="0" applyAlignment="1" applyBorder="1" applyFont="1" applyNumberFormat="1">
      <alignment readingOrder="0" shrinkToFit="0" vertical="center" wrapText="0"/>
    </xf>
    <xf borderId="4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4" fillId="0" fontId="3" numFmtId="164" xfId="0" applyAlignment="1" applyBorder="1" applyFont="1" applyNumberFormat="1">
      <alignment horizontal="center"/>
    </xf>
    <xf borderId="0" fillId="0" fontId="3" numFmtId="0" xfId="0" applyFont="1"/>
    <xf borderId="0" fillId="0" fontId="3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'Página1'!$B$1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'Página1'!$A$2:$A$14</c:f>
            </c:strRef>
          </c:cat>
          <c:val>
            <c:numRef>
              <c:f>'Página1'!$B$2:$B$14</c:f>
              <c:numCache/>
            </c:numRef>
          </c:val>
        </c:ser>
        <c:ser>
          <c:idx val="1"/>
          <c:order val="1"/>
          <c:tx>
            <c:strRef>
              <c:f>'Página1'!$C$1</c:f>
            </c:strRef>
          </c:tx>
          <c:cat>
            <c:strRef>
              <c:f>'Página1'!$A$2:$A$14</c:f>
            </c:strRef>
          </c:cat>
          <c:val>
            <c:numRef>
              <c:f>'Página1'!$C$2:$C$14</c:f>
              <c:numCache/>
            </c:numRef>
          </c:val>
        </c:ser>
        <c:ser>
          <c:idx val="2"/>
          <c:order val="2"/>
          <c:tx>
            <c:strRef>
              <c:f>'Página1'!$D$1</c:f>
            </c:strRef>
          </c:tx>
          <c:cat>
            <c:strRef>
              <c:f>'Página1'!$A$2:$A$14</c:f>
            </c:strRef>
          </c:cat>
          <c:val>
            <c:numRef>
              <c:f>'Página1'!$D$2:$D$14</c:f>
              <c:numCache/>
            </c:numRef>
          </c:val>
        </c:ser>
        <c:axId val="177645916"/>
        <c:axId val="2004981554"/>
      </c:barChart>
      <c:catAx>
        <c:axId val="177645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4981554"/>
      </c:catAx>
      <c:valAx>
        <c:axId val="2004981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459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4</xdr:row>
      <xdr:rowOff>114300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4" sheet="Página1"/>
  </cacheSource>
  <cacheFields>
    <cacheField name="Produto" numFmtId="0">
      <sharedItems>
        <s v="Arroz Tio Gosto"/>
        <s v="Bisnaguinha Pullman"/>
        <s v="Refrigerante Guaraná Antarctica"/>
        <s v="Café Pilão"/>
        <s v="Maionese Hellmanns"/>
        <s v="Linguiça Toscana Seara"/>
        <s v="Lasanha Sadia"/>
        <s v="Margarina Delícia"/>
        <s v="Suco de Uva Aurora"/>
        <s v="Cerveja Brahma"/>
        <s v="Cif Profissional"/>
        <s v="Amaciante Comfort"/>
        <s v="Macarrão Renata"/>
      </sharedItems>
    </cacheField>
    <cacheField name="Marca" numFmtId="0">
      <sharedItems>
        <s v="Tio Gosto"/>
        <s v="Pullman"/>
        <s v="Antarctica"/>
        <s v="Pilão"/>
        <s v="Hellmanns"/>
        <s v="Seara"/>
        <s v="Sadia"/>
        <s v="Delícia"/>
        <s v="Aurora"/>
        <s v="Brahma"/>
        <s v="Cif"/>
        <s v="Comfort"/>
        <s v="Renata"/>
      </sharedItems>
    </cacheField>
    <cacheField name="Preco" numFmtId="164">
      <sharedItems containsSemiMixedTypes="0" containsString="0" containsNumber="1">
        <n v="15.79"/>
        <n v="7.49"/>
        <n v="8.69"/>
        <n v="23.69"/>
        <n v="11.59"/>
        <n v="12.99"/>
        <n v="16.99"/>
        <n v="6.89"/>
        <n v="20.99"/>
        <n v="38.85"/>
        <n v="23.99"/>
        <n v="3.69"/>
      </sharedItems>
    </cacheField>
    <cacheField name="Unidade" numFmtId="0">
      <sharedItems>
        <s v="5kg"/>
        <s v="280g"/>
        <s v="2L"/>
        <s v="500g"/>
        <s v="600g"/>
        <s v="1L"/>
        <s v="12 latas"/>
        <s v="2.4kg"/>
        <s v="1.5L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4" sheet="Página1"/>
  </cacheSource>
  <cacheFields>
    <cacheField name="Produto" numFmtId="0">
      <sharedItems>
        <s v="Arroz Tio Gosto"/>
        <s v="Bisnaguinha Pullman"/>
        <s v="Refrigerante Guaraná Antarctica"/>
        <s v="Café Pilão"/>
        <s v="Maionese Hellmanns"/>
        <s v="Linguiça Toscana Seara"/>
        <s v="Lasanha Sadia"/>
        <s v="Margarina Delícia"/>
        <s v="Suco de Uva Aurora"/>
        <s v="Cerveja Brahma"/>
        <s v="Cif Profissional"/>
        <s v="Amaciante Comfort"/>
        <s v="Macarrão Renata"/>
      </sharedItems>
    </cacheField>
    <cacheField name="Marca" numFmtId="0">
      <sharedItems>
        <s v="Tio Gosto"/>
        <s v="Pullman"/>
        <s v="Antarctica"/>
        <s v="Pilão"/>
        <s v="Hellmanns"/>
        <s v="Seara"/>
        <s v="Sadia"/>
        <s v="Delícia"/>
        <s v="Aurora"/>
        <s v="Brahma"/>
        <s v="Cif"/>
        <s v="Comfort"/>
        <s v="Renata"/>
      </sharedItems>
    </cacheField>
    <cacheField name="Preco" numFmtId="164">
      <sharedItems containsSemiMixedTypes="0" containsString="0" containsNumber="1">
        <n v="15.79"/>
        <n v="7.49"/>
        <n v="8.69"/>
        <n v="23.69"/>
        <n v="11.59"/>
        <n v="12.99"/>
        <n v="16.99"/>
        <n v="6.89"/>
        <n v="20.99"/>
        <n v="38.85"/>
        <n v="23.99"/>
        <n v="3.69"/>
      </sharedItems>
      <fieldGroup base="2">
        <rangePr autoStart="0" autoEnd="0" endNum="40.0" groupInterval="10.0"/>
        <groupItems>
          <s v="&lt;0.0"/>
          <s v="R$ 0.00 - R$ 10.00"/>
          <s v="R$ 10.00 - R$ 20.00"/>
          <s v="R$ 20.00 - R$ 30.00"/>
          <s v="R$ 30.00 - R$ 40.00"/>
          <s v="&gt;40.0"/>
        </groupItems>
      </fieldGroup>
    </cacheField>
    <cacheField name="Unidade" numFmtId="0">
      <sharedItems>
        <s v="5kg"/>
        <s v="280g"/>
        <s v="2L"/>
        <s v="500g"/>
        <s v="600g"/>
        <s v="1L"/>
        <s v="12 latas"/>
        <s v="2.4kg"/>
        <s v="1.5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4" cacheId="1" dataCaption="" compact="0" compactData="0">
  <location ref="A1:B6" firstHeaderRow="0" firstDataRow="1" firstDataCol="0"/>
  <pivotFields>
    <pivotField name="Produt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arc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eco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2"/>
  </rowFields>
  <dataFields>
    <dataField name="COUNTA of Produto" fld="0" subtotal="count" baseField="0"/>
  </dataFields>
</pivotTableDefinition>
</file>

<file path=xl/pivotTables/pivotTable2.xml><?xml version="1.0" encoding="utf-8"?>
<pivotTableDefinition xmlns="http://schemas.openxmlformats.org/spreadsheetml/2006/main" name="Tabela dinâmica 3" cacheId="0" dataCaption="" compact="0" compactData="0">
  <location ref="A1:B14" firstHeaderRow="0" firstDataRow="1" firstDataCol="0"/>
  <pivotFields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arc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eco" axis="axisRow" compact="0" numFmtId="164" outline="0" multipleItemSelectionAllowed="1" showAll="0" sortType="ascending">
      <items>
        <item x="11"/>
        <item x="7"/>
        <item x="1"/>
        <item x="2"/>
        <item x="4"/>
        <item x="5"/>
        <item x="0"/>
        <item x="6"/>
        <item x="8"/>
        <item x="3"/>
        <item x="10"/>
        <item x="9"/>
        <item t="default"/>
      </items>
    </pivotField>
    <pivotField name="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2"/>
  </rowFields>
</pivotTableDefinition>
</file>

<file path=xl/pivotTables/pivotTable3.xml><?xml version="1.0" encoding="utf-8"?>
<pivotTableDefinition xmlns="http://schemas.openxmlformats.org/spreadsheetml/2006/main" name="Tabela dinâmica 2" cacheId="0" dataCaption="" compact="0" compactData="0">
  <location ref="A1:B14" firstHeaderRow="0" firstDataRow="1" firstDataCol="0"/>
  <pivotFields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arc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eco" axis="axisRow" compact="0" numFmtId="164" outline="0" multipleItemSelectionAllowed="1" showAll="0" sortType="ascending">
      <items>
        <item x="11"/>
        <item x="7"/>
        <item x="1"/>
        <item x="2"/>
        <item x="4"/>
        <item x="5"/>
        <item x="0"/>
        <item x="6"/>
        <item x="8"/>
        <item x="3"/>
        <item x="10"/>
        <item x="9"/>
        <item t="default"/>
      </items>
    </pivotField>
    <pivotField name="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2"/>
  </rowFields>
</pivotTableDefinition>
</file>

<file path=xl/tables/table1.xml><?xml version="1.0" encoding="utf-8"?>
<table xmlns="http://schemas.openxmlformats.org/spreadsheetml/2006/main" ref="A1:D14" displayName="lista" name="lista" id="1">
  <tableColumns count="4">
    <tableColumn name="Produto" id="1"/>
    <tableColumn name="Marca" id="2"/>
    <tableColumn name="Preco" id="3"/>
    <tableColumn name="Unidade" id="4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10.25"/>
    <col customWidth="1" min="3" max="3" width="13.13"/>
    <col customWidth="1" min="4" max="4" width="11.63"/>
    <col customWidth="1" min="6" max="6" width="12.88"/>
    <col customWidth="1" min="7" max="8" width="15.0"/>
    <col customWidth="1" min="12" max="12" width="1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G1" s="2" t="s">
        <v>4</v>
      </c>
      <c r="H1" s="3"/>
      <c r="I1" s="3"/>
      <c r="J1" s="3"/>
      <c r="K1" s="4"/>
    </row>
    <row r="2" ht="22.5" customHeight="1">
      <c r="A2" s="5" t="s">
        <v>5</v>
      </c>
      <c r="B2" s="5" t="s">
        <v>6</v>
      </c>
      <c r="C2" s="6">
        <v>15.79</v>
      </c>
      <c r="D2" s="5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</row>
    <row r="3" ht="22.5" customHeight="1">
      <c r="A3" s="5" t="s">
        <v>13</v>
      </c>
      <c r="B3" s="5" t="s">
        <v>14</v>
      </c>
      <c r="C3" s="6">
        <v>7.49</v>
      </c>
      <c r="D3" s="5" t="s">
        <v>15</v>
      </c>
      <c r="G3" s="8">
        <f>COUNTA(A:A)</f>
        <v>14</v>
      </c>
      <c r="H3" s="9">
        <f>MEDIAN(C:C)</f>
        <v>12.99</v>
      </c>
      <c r="I3" s="9">
        <f>MAX(C:C)</f>
        <v>38.85</v>
      </c>
      <c r="J3" s="9">
        <f>MIN(C:C)</f>
        <v>3.69</v>
      </c>
      <c r="K3" s="8">
        <f>COUNTIF(C:C,"&gt;20")</f>
        <v>4</v>
      </c>
    </row>
    <row r="4" ht="22.5" customHeight="1">
      <c r="A4" s="5" t="s">
        <v>16</v>
      </c>
      <c r="B4" s="5" t="s">
        <v>17</v>
      </c>
      <c r="C4" s="6">
        <v>8.69</v>
      </c>
      <c r="D4" s="5" t="s">
        <v>18</v>
      </c>
    </row>
    <row r="5" ht="22.5" customHeight="1">
      <c r="A5" s="5" t="s">
        <v>19</v>
      </c>
      <c r="B5" s="5" t="s">
        <v>20</v>
      </c>
      <c r="C5" s="6">
        <v>23.69</v>
      </c>
      <c r="D5" s="5" t="s">
        <v>21</v>
      </c>
    </row>
    <row r="6" ht="22.5" customHeight="1">
      <c r="A6" s="5" t="s">
        <v>22</v>
      </c>
      <c r="B6" s="5" t="s">
        <v>23</v>
      </c>
      <c r="C6" s="6">
        <v>11.59</v>
      </c>
      <c r="D6" s="5" t="s">
        <v>21</v>
      </c>
    </row>
    <row r="7" ht="22.5" customHeight="1">
      <c r="A7" s="5" t="s">
        <v>24</v>
      </c>
      <c r="B7" s="5" t="s">
        <v>25</v>
      </c>
      <c r="C7" s="6">
        <v>12.99</v>
      </c>
      <c r="D7" s="5" t="s">
        <v>26</v>
      </c>
    </row>
    <row r="8" ht="22.5" customHeight="1">
      <c r="A8" s="5" t="s">
        <v>27</v>
      </c>
      <c r="B8" s="5" t="s">
        <v>28</v>
      </c>
      <c r="C8" s="6">
        <v>16.99</v>
      </c>
      <c r="D8" s="5" t="s">
        <v>21</v>
      </c>
    </row>
    <row r="9" ht="22.5" customHeight="1">
      <c r="A9" s="5" t="s">
        <v>29</v>
      </c>
      <c r="B9" s="5" t="s">
        <v>30</v>
      </c>
      <c r="C9" s="6">
        <v>6.89</v>
      </c>
      <c r="D9" s="5" t="s">
        <v>21</v>
      </c>
    </row>
    <row r="10" ht="22.5" customHeight="1">
      <c r="A10" s="5" t="s">
        <v>31</v>
      </c>
      <c r="B10" s="5" t="s">
        <v>32</v>
      </c>
      <c r="C10" s="6">
        <v>20.99</v>
      </c>
      <c r="D10" s="5" t="s">
        <v>33</v>
      </c>
    </row>
    <row r="11" ht="22.5" customHeight="1">
      <c r="A11" s="5" t="s">
        <v>34</v>
      </c>
      <c r="B11" s="5" t="s">
        <v>35</v>
      </c>
      <c r="C11" s="6">
        <v>38.85</v>
      </c>
      <c r="D11" s="5" t="s">
        <v>36</v>
      </c>
    </row>
    <row r="12" ht="22.5" customHeight="1">
      <c r="A12" s="5" t="s">
        <v>37</v>
      </c>
      <c r="B12" s="5" t="s">
        <v>38</v>
      </c>
      <c r="C12" s="6">
        <v>12.99</v>
      </c>
      <c r="D12" s="5" t="s">
        <v>39</v>
      </c>
    </row>
    <row r="13" ht="22.5" customHeight="1">
      <c r="A13" s="5" t="s">
        <v>40</v>
      </c>
      <c r="B13" s="5" t="s">
        <v>41</v>
      </c>
      <c r="C13" s="6">
        <v>23.99</v>
      </c>
      <c r="D13" s="5" t="s">
        <v>42</v>
      </c>
    </row>
    <row r="14" ht="22.5" customHeight="1">
      <c r="A14" s="5" t="s">
        <v>43</v>
      </c>
      <c r="B14" s="5" t="s">
        <v>44</v>
      </c>
      <c r="C14" s="6">
        <v>3.69</v>
      </c>
      <c r="D14" s="5" t="s">
        <v>21</v>
      </c>
    </row>
  </sheetData>
  <mergeCells count="1">
    <mergeCell ref="G1:K1"/>
  </mergeCells>
  <dataValidations>
    <dataValidation type="custom" allowBlank="1" showDropDown="1" sqref="C2:C14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0" t="s">
        <v>3</v>
      </c>
      <c r="B1" s="10" t="s">
        <v>52</v>
      </c>
    </row>
    <row r="2">
      <c r="A2" s="10" t="s">
        <v>42</v>
      </c>
      <c r="B2" s="11">
        <v>23.99</v>
      </c>
    </row>
    <row r="3">
      <c r="A3" s="10" t="s">
        <v>36</v>
      </c>
      <c r="B3" s="11">
        <v>38.85</v>
      </c>
    </row>
    <row r="4">
      <c r="A4" s="10" t="s">
        <v>33</v>
      </c>
      <c r="B4" s="11">
        <v>20.99</v>
      </c>
    </row>
    <row r="5">
      <c r="A5" s="10" t="s">
        <v>39</v>
      </c>
      <c r="B5" s="11">
        <v>12.99</v>
      </c>
    </row>
    <row r="6">
      <c r="A6" s="10" t="s">
        <v>15</v>
      </c>
      <c r="B6" s="11">
        <v>7.49</v>
      </c>
    </row>
    <row r="7">
      <c r="A7" s="10" t="s">
        <v>18</v>
      </c>
      <c r="B7" s="11">
        <v>8.69</v>
      </c>
    </row>
    <row r="8">
      <c r="A8" s="10" t="s">
        <v>21</v>
      </c>
      <c r="B8" s="11">
        <v>11.59</v>
      </c>
    </row>
    <row r="9">
      <c r="A9" s="10" t="s">
        <v>7</v>
      </c>
      <c r="B9" s="11">
        <v>15.79</v>
      </c>
    </row>
    <row r="10">
      <c r="A10" s="10" t="s">
        <v>26</v>
      </c>
      <c r="B10" s="11">
        <v>12.99</v>
      </c>
    </row>
    <row r="11">
      <c r="A11" s="10" t="s">
        <v>51</v>
      </c>
      <c r="B11" s="11">
        <v>12.99</v>
      </c>
    </row>
  </sheetData>
  <drawing r:id="rId1"/>
</worksheet>
</file>