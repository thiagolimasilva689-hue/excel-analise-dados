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  <sheet state="visible" name="Tabela dinâmica 1" sheetId="3" r:id="rId7"/>
    <sheet state="visible" name="Detalhe1" sheetId="4" r:id="rId8"/>
    <sheet state="visible" name="Página3" sheetId="5" r:id="rId9"/>
    <sheet state="visible" name="Página4" sheetId="6" r:id="rId10"/>
    <sheet state="visible" name="Página5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<sst xmlns="http://schemas.openxmlformats.org/spreadsheetml/2006/main" count="80" uniqueCount="49">
  <si>
    <t>VENDAS</t>
  </si>
  <si>
    <t xml:space="preserve">Data   </t>
  </si>
  <si>
    <t>Vendedor</t>
  </si>
  <si>
    <t xml:space="preserve">   Produto</t>
  </si>
  <si>
    <t xml:space="preserve">   Valor</t>
  </si>
  <si>
    <t xml:space="preserve">Ana </t>
  </si>
  <si>
    <t xml:space="preserve"> Caneta </t>
  </si>
  <si>
    <t>PRODUTOS</t>
  </si>
  <si>
    <t xml:space="preserve">João </t>
  </si>
  <si>
    <t xml:space="preserve"> Caderno</t>
  </si>
  <si>
    <t>LOJA</t>
  </si>
  <si>
    <t>Caderno</t>
  </si>
  <si>
    <t>Caneta</t>
  </si>
  <si>
    <t xml:space="preserve">Borracha </t>
  </si>
  <si>
    <t>ID Produto</t>
  </si>
  <si>
    <t>Quantidade</t>
  </si>
  <si>
    <t>COUNTA de    Produto</t>
  </si>
  <si>
    <t>SUM de    Valor</t>
  </si>
  <si>
    <t>Nome</t>
  </si>
  <si>
    <t>Preço</t>
  </si>
  <si>
    <t>quantidade</t>
  </si>
  <si>
    <t>Total</t>
  </si>
  <si>
    <t>Total geral</t>
  </si>
  <si>
    <t>Borracha</t>
  </si>
  <si>
    <t>ALUNO</t>
  </si>
  <si>
    <t>NOTA TRABALHO</t>
  </si>
  <si>
    <t>PROVA</t>
  </si>
  <si>
    <t>RESULTADO FINAL</t>
  </si>
  <si>
    <t xml:space="preserve">Pedro </t>
  </si>
  <si>
    <t>Maria</t>
  </si>
  <si>
    <t>João</t>
  </si>
  <si>
    <t>Produto</t>
  </si>
  <si>
    <t>Categoria</t>
  </si>
  <si>
    <t>Valor</t>
  </si>
  <si>
    <t>TOTAL DE CADA</t>
  </si>
  <si>
    <t>Camiseta</t>
  </si>
  <si>
    <t>Vestuário</t>
  </si>
  <si>
    <t>Calçados</t>
  </si>
  <si>
    <t>Calça</t>
  </si>
  <si>
    <t>Tênis</t>
  </si>
  <si>
    <t>Meia</t>
  </si>
  <si>
    <t>Sandália</t>
  </si>
  <si>
    <t>Mês</t>
  </si>
  <si>
    <t>Vendas</t>
  </si>
  <si>
    <t>Jan</t>
  </si>
  <si>
    <t>Fev</t>
  </si>
  <si>
    <t>Mar</t>
  </si>
  <si>
    <t>Abr</t>
  </si>
  <si>
    <t>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</si>
</sst>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9">
    <font>
      <sz val="10.0"/>
      <color rgb="FF000000"/>
      <name val="Arial"/>
      <scheme val="minor"/>
    </font>
    <font>
      <b/>
      <color theme="1"/>
      <name val="Merriweather"/>
    </font>
    <font>
      <color theme="1"/>
      <name val="Merriweather"/>
    </font>
    <font>
      <color theme="1"/>
      <name val="Arial"/>
      <scheme val="minor"/>
    </font>
    <font/>
    <font>
      <b/>
      <color rgb="FFFFFFFF"/>
      <name val="Arial"/>
      <scheme val="minor"/>
    </font>
    <font>
      <b/>
      <color theme="1"/>
      <name val="Arial"/>
      <scheme val="minor"/>
    </font>
    <font>
      <b/>
      <color theme="1"/>
      <name val="Georgia"/>
    </font>
    <font>
      <color theme="1"/>
      <name val="Oswald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3" fillId="0" fontId="4" numFmtId="0" xfId="0" applyBorder="1" applyFont="1"/>
    <xf borderId="1" fillId="0" fontId="3" numFmtId="0" xfId="0" applyAlignment="1" applyBorder="1" applyFont="1">
      <alignment horizontal="center" readingOrder="0"/>
    </xf>
    <xf borderId="0" fillId="0" fontId="2" numFmtId="0" xfId="0" applyFont="1"/>
    <xf borderId="1" fillId="0" fontId="3" numFmtId="165" xfId="0" applyAlignment="1" applyBorder="1" applyFont="1" applyNumberFormat="1">
      <alignment horizontal="center" readingOrder="0"/>
    </xf>
    <xf borderId="4" fillId="0" fontId="4" numFmtId="0" xfId="0" applyBorder="1" applyFont="1"/>
    <xf borderId="5" fillId="0" fontId="5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3" numFmtId="0" xfId="0" applyFont="1"/>
    <xf borderId="7" fillId="0" fontId="5" numFmtId="0" xfId="0" applyAlignment="1" applyBorder="1" applyFont="1">
      <alignment horizontal="center" readingOrder="0"/>
    </xf>
    <xf borderId="0" fillId="0" fontId="6" numFmtId="0" xfId="0" applyFont="1"/>
    <xf borderId="8" fillId="0" fontId="3" numFmtId="164" xfId="0" applyAlignment="1" applyBorder="1" applyFont="1" applyNumberFormat="1">
      <alignment readingOrder="0"/>
    </xf>
    <xf borderId="0" fillId="0" fontId="3" numFmtId="165" xfId="0" applyFont="1" applyNumberFormat="1"/>
    <xf borderId="9" fillId="0" fontId="3" numFmtId="0" xfId="0" applyAlignment="1" applyBorder="1" applyFont="1">
      <alignment readingOrder="0"/>
    </xf>
    <xf borderId="10" fillId="0" fontId="3" numFmtId="165" xfId="0" applyAlignment="1" applyBorder="1" applyFont="1" applyNumberFormat="1">
      <alignment readingOrder="0"/>
    </xf>
    <xf borderId="1" fillId="0" fontId="3" numFmtId="0" xfId="0" applyAlignment="1" applyBorder="1" applyFont="1">
      <alignment horizontal="center"/>
    </xf>
    <xf borderId="1" fillId="0" fontId="3" numFmtId="165" xfId="0" applyAlignment="1" applyBorder="1" applyFont="1" applyNumberFormat="1">
      <alignment horizontal="center"/>
    </xf>
    <xf borderId="1" fillId="0" fontId="3" numFmtId="0" xfId="0" applyBorder="1" applyFont="1"/>
    <xf borderId="1" fillId="0" fontId="7" numFmtId="0" xfId="0" applyAlignment="1" applyBorder="1" applyFont="1">
      <alignment horizontal="center" readingOrder="0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etalhe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versus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'Página5'!$B$1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'Página5'!$A$2:$A$6</c:f>
            </c:strRef>
          </c:cat>
          <c:val>
            <c:numRef>
              <c:f>'Página5'!$B$2:$B$6</c:f>
              <c:numCache/>
            </c:numRef>
          </c:val>
        </c:ser>
        <c:axId val="953492018"/>
        <c:axId val="1216206110"/>
      </c:barChart>
      <c:catAx>
        <c:axId val="9534920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6206110"/>
      </c:catAx>
      <c:valAx>
        <c:axId val="1216206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34920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1</xdr:row>
      <xdr:rowOff>180975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D6" sheet="Página2"/>
  </cacheSource>
  <cacheFields>
    <cacheField name="Data   " numFmtId="164">
      <sharedItems containsSemiMixedTypes="0" containsDate="1" containsString="0">
        <d v="2026-07-01T00:00:00Z"/>
        <d v="2026-07-02T00:00:00Z"/>
        <d v="2026-07-03T00:00:00Z"/>
      </sharedItems>
    </cacheField>
    <cacheField name="Vendedor" numFmtId="0">
      <sharedItems>
        <s v="Ana "/>
        <s v="João "/>
      </sharedItems>
    </cacheField>
    <cacheField name="   Produto" numFmtId="0">
      <sharedItems>
        <s v=" Caneta "/>
        <s v=" Caderno"/>
        <s v="Caderno"/>
        <s v="Caneta"/>
        <s v="Borracha "/>
      </sharedItems>
    </cacheField>
    <cacheField name="   Valor" numFmtId="165">
      <sharedItems containsSemiMixedTypes="0" containsString="0" containsNumber="1">
        <n v="1.5"/>
        <n v="15.0"/>
        <n v="21.0"/>
        <n v="1.7"/>
        <n v="5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1" cacheId="0" dataCaption="" compact="0" compactData="0">
  <location ref="A1:C4" firstHeaderRow="0" firstDataRow="2" firstDataCol="0"/>
  <pivotFields>
    <pivotField name="Data   " compact="0" numFmtId="164" outline="0" multipleItemSelectionAllowed="1" showAll="0">
      <items>
        <item x="0"/>
        <item x="1"/>
        <item x="2"/>
        <item t="default"/>
      </items>
    </pivotField>
    <pivotField name="Vendedor" axis="axisRow" compact="0" outline="0" multipleItemSelectionAllowed="1" showAll="0" sortType="ascending">
      <items>
        <item x="0"/>
        <item x="1"/>
        <item t="default"/>
      </items>
    </pivotField>
    <pivotField name="   Produto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  Valor" dataField="1" compact="0" numFmtId="165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dataFields>
    <dataField name="COUNTA of    Produto" fld="2" subtotal="count" baseField="0"/>
    <dataField name="SUM of    Valor" fld="3" baseField="0"/>
  </dataFields>
</pivotTableDefinition>
</file>

<file path=xl/tables/table1.xml><?xml version="1.0" encoding="utf-8"?>
<table xmlns="http://schemas.openxmlformats.org/spreadsheetml/2006/main" ref="A1:D6" displayName="Table_1" name="Table_1" id="1">
  <tableColumns count="4">
    <tableColumn name="Data   " id="1"/>
    <tableColumn name="Vendedor" id="2"/>
    <tableColumn name="   Produto" id="3"/>
    <tableColumn name="   Valor" id="4"/>
  </tableColumns>
  <tableStyleInfo name="Detalhe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/>
      <c r="C1" s="6"/>
      <c r="D1" s="6"/>
      <c r="E1" s="2" t="s">
        <v>7</v>
      </c>
      <c r="F1" s="8"/>
      <c r="G1" s="4"/>
      <c r="I1" s="10" t="s">
        <v>10</v>
      </c>
      <c r="J1" s="8"/>
      <c r="K1" s="8"/>
      <c r="L1" s="8"/>
      <c r="M1" s="4"/>
    </row>
    <row r="2">
      <c r="A2" s="12" t="s">
        <v>14</v>
      </c>
      <c r="B2" s="12" t="s">
        <v>15</v>
      </c>
      <c r="C2" s="15"/>
      <c r="D2" s="15"/>
      <c r="E2" s="12" t="s">
        <v>14</v>
      </c>
      <c r="F2" s="12" t="s">
        <v>18</v>
      </c>
      <c r="G2" s="12" t="s">
        <v>19</v>
      </c>
      <c r="I2" s="12" t="s">
        <v>14</v>
      </c>
      <c r="J2" s="12" t="s">
        <v>18</v>
      </c>
      <c r="K2" s="12" t="s">
        <v>19</v>
      </c>
      <c r="L2" s="12" t="s">
        <v>20</v>
      </c>
      <c r="M2" s="12" t="s">
        <v>21</v>
      </c>
    </row>
    <row r="3">
      <c r="A3" s="5">
        <v>101.0</v>
      </c>
      <c r="B3" s="5">
        <v>5.0</v>
      </c>
      <c r="E3" s="5">
        <v>101.0</v>
      </c>
      <c r="F3" s="5" t="s">
        <v>12</v>
      </c>
      <c r="G3" s="7">
        <v>2.5</v>
      </c>
      <c r="I3" s="5">
        <v>101.0</v>
      </c>
      <c r="J3" s="20" t="str">
        <f>VLOOKUP(A3,A3:G5,6,FALSE)</f>
        <v>Caneta</v>
      </c>
      <c r="K3" s="21">
        <f t="shared" ref="K3:K5" si="1">VLOOKUP(E3,E3:G5,3,false)</f>
        <v>2.5</v>
      </c>
      <c r="L3" s="20">
        <f t="shared" ref="L3:L5" si="2">VLOOKUP(A3:A5,A3:B5,2,false)</f>
        <v>5</v>
      </c>
      <c r="M3" s="21">
        <f t="shared" ref="M3:M5" si="3">L3*K3</f>
        <v>12.5</v>
      </c>
    </row>
    <row r="4">
      <c r="A4" s="5">
        <v>102.0</v>
      </c>
      <c r="B4" s="5">
        <v>3.0</v>
      </c>
      <c r="E4" s="5">
        <v>102.0</v>
      </c>
      <c r="F4" s="5" t="s">
        <v>11</v>
      </c>
      <c r="G4" s="7">
        <v>15.0</v>
      </c>
      <c r="I4" s="5">
        <v>102.0</v>
      </c>
      <c r="J4" s="20" t="str">
        <f t="shared" ref="J4:J5" si="4">VLOOKUP(E4,E3:G5,2,false)</f>
        <v>Caderno</v>
      </c>
      <c r="K4" s="21">
        <f t="shared" si="1"/>
        <v>15</v>
      </c>
      <c r="L4" s="20">
        <f t="shared" si="2"/>
        <v>3</v>
      </c>
      <c r="M4" s="21">
        <f t="shared" si="3"/>
        <v>45</v>
      </c>
    </row>
    <row r="5">
      <c r="A5" s="5">
        <v>103.0</v>
      </c>
      <c r="B5" s="5">
        <v>8.0</v>
      </c>
      <c r="E5" s="5">
        <v>103.0</v>
      </c>
      <c r="F5" s="5" t="s">
        <v>23</v>
      </c>
      <c r="G5" s="7">
        <v>3.0</v>
      </c>
      <c r="I5" s="5">
        <v>103.0</v>
      </c>
      <c r="J5" s="20" t="str">
        <f t="shared" si="4"/>
        <v>Borracha</v>
      </c>
      <c r="K5" s="21">
        <f t="shared" si="1"/>
        <v>3</v>
      </c>
      <c r="L5" s="20">
        <f t="shared" si="2"/>
        <v>8</v>
      </c>
      <c r="M5" s="21">
        <f t="shared" si="3"/>
        <v>24</v>
      </c>
    </row>
  </sheetData>
  <mergeCells count="3">
    <mergeCell ref="A1:B1"/>
    <mergeCell ref="E1:G1"/>
    <mergeCell ref="I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3">
        <v>46204.0</v>
      </c>
      <c r="B2" s="5" t="s">
        <v>5</v>
      </c>
      <c r="C2" s="5" t="s">
        <v>6</v>
      </c>
      <c r="D2" s="7">
        <v>1.5</v>
      </c>
    </row>
    <row r="3">
      <c r="A3" s="3">
        <v>46204.0</v>
      </c>
      <c r="B3" s="5" t="s">
        <v>8</v>
      </c>
      <c r="C3" s="5" t="s">
        <v>9</v>
      </c>
      <c r="D3" s="7">
        <v>15.0</v>
      </c>
    </row>
    <row r="4">
      <c r="A4" s="3">
        <v>46205.0</v>
      </c>
      <c r="B4" s="5" t="s">
        <v>5</v>
      </c>
      <c r="C4" s="5" t="s">
        <v>11</v>
      </c>
      <c r="D4" s="7">
        <v>21.0</v>
      </c>
    </row>
    <row r="5">
      <c r="A5" s="3">
        <v>46205.0</v>
      </c>
      <c r="B5" s="5" t="s">
        <v>8</v>
      </c>
      <c r="C5" s="5" t="s">
        <v>12</v>
      </c>
      <c r="D5" s="7">
        <v>1.7</v>
      </c>
    </row>
    <row r="6">
      <c r="A6" s="3">
        <v>46206.0</v>
      </c>
      <c r="B6" s="5" t="s">
        <v>5</v>
      </c>
      <c r="C6" s="5" t="s">
        <v>13</v>
      </c>
      <c r="D6" s="7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1</v>
      </c>
      <c r="B1" s="11" t="s">
        <v>2</v>
      </c>
      <c r="C1" s="11" t="s">
        <v>3</v>
      </c>
      <c r="D1" s="14" t="s">
        <v>4</v>
      </c>
    </row>
    <row r="2">
      <c r="A2" s="16">
        <v>46204.0</v>
      </c>
      <c r="B2" s="18" t="s">
        <v>5</v>
      </c>
      <c r="C2" s="18" t="s">
        <v>6</v>
      </c>
      <c r="D2" s="19">
        <v>1.5</v>
      </c>
    </row>
    <row r="3">
      <c r="A3" s="16">
        <v>46204.0</v>
      </c>
      <c r="B3" s="18" t="s">
        <v>8</v>
      </c>
      <c r="C3" s="18" t="s">
        <v>9</v>
      </c>
      <c r="D3" s="19">
        <v>15.0</v>
      </c>
    </row>
    <row r="4">
      <c r="A4" s="16">
        <v>46205.0</v>
      </c>
      <c r="B4" s="18" t="s">
        <v>5</v>
      </c>
      <c r="C4" s="18" t="s">
        <v>11</v>
      </c>
      <c r="D4" s="19">
        <v>21.0</v>
      </c>
    </row>
    <row r="5">
      <c r="A5" s="16">
        <v>46205.0</v>
      </c>
      <c r="B5" s="18" t="s">
        <v>8</v>
      </c>
      <c r="C5" s="18" t="s">
        <v>12</v>
      </c>
      <c r="D5" s="19">
        <v>1.7</v>
      </c>
    </row>
    <row r="6">
      <c r="A6" s="16">
        <v>46206.0</v>
      </c>
      <c r="B6" s="18" t="s">
        <v>5</v>
      </c>
      <c r="C6" s="18" t="s">
        <v>13</v>
      </c>
      <c r="D6" s="19">
        <v>5.0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4" max="4" width="16.5"/>
    <col customWidth="1" min="5" max="5" width="16.13"/>
  </cols>
  <sheetData>
    <row r="1">
      <c r="A1" s="12" t="s">
        <v>24</v>
      </c>
      <c r="B1" s="12" t="s">
        <v>25</v>
      </c>
      <c r="C1" s="12" t="s">
        <v>26</v>
      </c>
      <c r="D1" s="12" t="s">
        <v>27</v>
      </c>
    </row>
    <row r="2">
      <c r="A2" s="5" t="s">
        <v>28</v>
      </c>
      <c r="B2" s="5">
        <v>7.0</v>
      </c>
      <c r="C2" s="5">
        <v>8.0</v>
      </c>
      <c r="D2" s="22" t="str">
        <f t="shared" ref="D2:D4" si="1">IF(AND(B2&gt;6,C2&gt;6),"APROVADOR✅","REPROVADOR❌")</f>
        <v>APROVADOR✅</v>
      </c>
    </row>
    <row r="3">
      <c r="A3" s="5" t="s">
        <v>29</v>
      </c>
      <c r="B3" s="5">
        <v>5.0</v>
      </c>
      <c r="C3" s="5">
        <v>9.0</v>
      </c>
      <c r="D3" s="22" t="str">
        <f t="shared" si="1"/>
        <v>REPROVADOR❌</v>
      </c>
    </row>
    <row r="4">
      <c r="A4" s="5" t="s">
        <v>30</v>
      </c>
      <c r="B4" s="5">
        <v>8.0</v>
      </c>
      <c r="C4" s="5">
        <v>4.0</v>
      </c>
      <c r="D4" s="22" t="str">
        <f t="shared" si="1"/>
        <v>REPROVADOR❌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13"/>
  </cols>
  <sheetData>
    <row r="1">
      <c r="A1" s="23" t="s">
        <v>31</v>
      </c>
      <c r="B1" s="23" t="s">
        <v>32</v>
      </c>
      <c r="C1" s="23" t="s">
        <v>33</v>
      </c>
      <c r="E1" s="10" t="s">
        <v>34</v>
      </c>
      <c r="F1" s="4"/>
    </row>
    <row r="2">
      <c r="A2" s="5" t="s">
        <v>35</v>
      </c>
      <c r="B2" s="5" t="s">
        <v>36</v>
      </c>
      <c r="C2" s="7">
        <v>50.0</v>
      </c>
      <c r="E2" s="5" t="s">
        <v>37</v>
      </c>
      <c r="F2" s="5" t="s">
        <v>36</v>
      </c>
    </row>
    <row r="3">
      <c r="A3" s="5" t="s">
        <v>38</v>
      </c>
      <c r="B3" s="5" t="s">
        <v>36</v>
      </c>
      <c r="C3" s="7">
        <v>120.0</v>
      </c>
      <c r="E3" s="21">
        <f>SUMIF(B2:B6,"Calçados",C2:C6)</f>
        <v>280</v>
      </c>
      <c r="F3" s="20">
        <f>COUNTIF(A2:C6,"Vestuário")</f>
        <v>3</v>
      </c>
    </row>
    <row r="4">
      <c r="A4" s="5" t="s">
        <v>39</v>
      </c>
      <c r="B4" s="5" t="s">
        <v>37</v>
      </c>
      <c r="C4" s="7">
        <v>200.0</v>
      </c>
    </row>
    <row r="5">
      <c r="A5" s="5" t="s">
        <v>40</v>
      </c>
      <c r="B5" s="5" t="s">
        <v>36</v>
      </c>
      <c r="C5" s="7">
        <v>25.0</v>
      </c>
    </row>
    <row r="6">
      <c r="A6" s="5" t="s">
        <v>41</v>
      </c>
      <c r="B6" s="5" t="s">
        <v>37</v>
      </c>
      <c r="C6" s="7">
        <v>80.0</v>
      </c>
    </row>
    <row r="12">
      <c r="E12" s="24"/>
    </row>
  </sheetData>
  <mergeCells count="1">
    <mergeCell ref="E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42</v>
      </c>
      <c r="B1" s="12" t="s">
        <v>43</v>
      </c>
    </row>
    <row r="2">
      <c r="A2" s="5" t="s">
        <v>44</v>
      </c>
      <c r="B2" s="7">
        <v>1000.0</v>
      </c>
    </row>
    <row r="3">
      <c r="A3" s="5" t="s">
        <v>45</v>
      </c>
      <c r="B3" s="7">
        <v>1500.0</v>
      </c>
    </row>
    <row r="4">
      <c r="A4" s="5" t="s">
        <v>46</v>
      </c>
      <c r="B4" s="7">
        <v>800.0</v>
      </c>
    </row>
    <row r="5">
      <c r="A5" s="5" t="s">
        <v>47</v>
      </c>
      <c r="B5" s="7">
        <v>2000.0</v>
      </c>
    </row>
    <row r="6">
      <c r="A6" s="5" t="s">
        <v>48</v>
      </c>
      <c r="B6" s="7">
        <v>1700.0</v>
      </c>
    </row>
  </sheetData>
  <drawing r:id="rId1"/>
</worksheet>
</file>