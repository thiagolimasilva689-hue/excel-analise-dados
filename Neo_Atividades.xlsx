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6C85AF60-9B8F-4C1F-A39C-48CB52781D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N3" i="1"/>
  <c r="M3" i="1"/>
  <c r="L3" i="1"/>
  <c r="K3" i="1"/>
  <c r="J3" i="1"/>
  <c r="I3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G2" i="1"/>
  <c r="F2" i="1"/>
  <c r="H3" i="1" s="1"/>
</calcChain>
</file>

<file path=xl/sharedStrings.xml><?xml version="1.0" encoding="utf-8"?>
<sst xmlns="http://schemas.openxmlformats.org/spreadsheetml/2006/main" count="34" uniqueCount="26">
  <si>
    <t>Produto</t>
  </si>
  <si>
    <t>Categoria</t>
  </si>
  <si>
    <t>Quantidade</t>
  </si>
  <si>
    <t>Preço</t>
  </si>
  <si>
    <t>Data Venda</t>
  </si>
  <si>
    <t xml:space="preserve">VALOR TOTAL </t>
  </si>
  <si>
    <t>Status</t>
  </si>
  <si>
    <r>
      <rPr>
        <b/>
        <sz val="11"/>
        <color rgb="FF000000"/>
        <rFont val="Book Antiqua"/>
      </rPr>
      <t>SITUAÇÃO</t>
    </r>
    <r>
      <rPr>
        <sz val="11"/>
        <color rgb="FF000000"/>
        <rFont val="Calibri"/>
        <scheme val="minor"/>
      </rPr>
      <t xml:space="preserve"> </t>
    </r>
  </si>
  <si>
    <t>GASTOS</t>
  </si>
  <si>
    <t>BUSCAR PRODUTO</t>
  </si>
  <si>
    <t>Arroz</t>
  </si>
  <si>
    <t>Alimentação</t>
  </si>
  <si>
    <t>TOTAL DE VENDAS</t>
  </si>
  <si>
    <t>PREÇO MEDIO</t>
  </si>
  <si>
    <t>MAIOR PREÇO</t>
  </si>
  <si>
    <t>Limpeza</t>
  </si>
  <si>
    <t>Higiene</t>
  </si>
  <si>
    <t>INFORME O PRODUTO</t>
  </si>
  <si>
    <t>PREÇO</t>
  </si>
  <si>
    <t>Feijão</t>
  </si>
  <si>
    <t>Carne</t>
  </si>
  <si>
    <t>Detergente</t>
  </si>
  <si>
    <t>Sabão</t>
  </si>
  <si>
    <t>Shampoo</t>
  </si>
  <si>
    <t>Pasta de dente</t>
  </si>
  <si>
    <t>Leite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</si>
</sst>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F1115"/>
      <name val="Calibri"/>
      <scheme val="minor"/>
    </font>
    <font>
      <sz val="11"/>
      <color rgb="FF0F1115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 Light"/>
      <scheme val="major"/>
    </font>
    <font>
      <b/>
      <sz val="11"/>
      <color rgb="FF000000"/>
      <name val="Book Antiqua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entury"/>
    </font>
    <font>
      <b/>
      <sz val="11"/>
      <color theme="1"/>
      <name val="Century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14" fontId="3" fillId="2" borderId="1" xfId="0" applyNumberFormat="1" applyFont="1" applyFill="1" applyBorder="1" applyAlignment="1">
      <alignment horizontal="center" wrapText="1"/>
    </xf>
    <xf numFmtId="0" fontId="0" fillId="0" borderId="1" xfId="0" applyBorder="1"/>
    <xf numFmtId="0" fontId="4" fillId="0" borderId="1" xfId="0" applyFont="1" applyBorder="1"/>
    <xf numFmtId="0" fontId="1" fillId="0" borderId="1" xfId="0" applyFont="1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1" fillId="0" borderId="2" xfId="0" applyFont="1" applyBorder="1"/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1" fillId="0" borderId="4" xfId="0" applyFont="1" applyBorder="1"/>
    <xf numFmtId="0" fontId="5" fillId="0" borderId="4" xfId="0" applyFont="1" applyBorder="1" applyAlignment="1">
      <alignment horizontal="center"/>
    </xf>
    <xf numFmtId="164" fontId="0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/>
    <xf numFmtId="164" fontId="0" fillId="0" borderId="2" xfId="0" applyNumberFormat="1" applyBorder="1"/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Q14" sqref="Q14"/>
    </sheetView>
  </sheetViews>
  <sheetFormatPr defaultRowHeight="15"/>
  <cols>
    <col min="1" max="1" width="11" customWidth="1"/>
    <col min="2" max="2" width="11.5703125" bestFit="1" customWidth="1"/>
    <col min="3" max="3" width="11.140625" bestFit="1" customWidth="1"/>
    <col min="4" max="4" width="8.85546875" bestFit="1" customWidth="1"/>
    <col min="5" max="5" width="11" bestFit="1" customWidth="1"/>
    <col min="6" max="6" width="13.42578125" customWidth="1"/>
    <col min="8" max="8" width="17.5703125" bestFit="1" customWidth="1"/>
    <col min="9" max="9" width="13.7109375" bestFit="1" customWidth="1"/>
    <col min="10" max="10" width="13.5703125" customWidth="1"/>
    <col min="11" max="11" width="12" bestFit="1" customWidth="1"/>
    <col min="12" max="13" width="9.7109375" bestFit="1" customWidth="1"/>
    <col min="14" max="14" width="21" bestFit="1" customWidth="1"/>
    <col min="15" max="15" width="14" customWidth="1"/>
  </cols>
  <sheetData>
    <row r="1" spans="1:15" ht="30.7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3" t="s">
        <v>6</v>
      </c>
      <c r="H1" s="19" t="s">
        <v>7</v>
      </c>
      <c r="I1" s="20"/>
      <c r="J1" s="21"/>
      <c r="K1" s="22" t="s">
        <v>8</v>
      </c>
      <c r="L1" s="20"/>
      <c r="M1" s="21"/>
      <c r="N1" s="23" t="s">
        <v>9</v>
      </c>
      <c r="O1" s="23"/>
    </row>
    <row r="2" spans="1:15" ht="30.75">
      <c r="A2" s="1" t="s">
        <v>10</v>
      </c>
      <c r="B2" s="1" t="s">
        <v>11</v>
      </c>
      <c r="C2" s="1">
        <v>5</v>
      </c>
      <c r="D2" s="2">
        <v>25.9</v>
      </c>
      <c r="E2" s="3">
        <v>46204</v>
      </c>
      <c r="F2" s="8">
        <f>C2*D2</f>
        <v>129.5</v>
      </c>
      <c r="G2" s="16" t="str">
        <f>IF(D2&gt;20,"CARO","BARATO")</f>
        <v>CARO</v>
      </c>
      <c r="H2" s="6" t="s">
        <v>12</v>
      </c>
      <c r="I2" s="5" t="s">
        <v>13</v>
      </c>
      <c r="J2" s="17" t="s">
        <v>14</v>
      </c>
      <c r="K2" s="6" t="s">
        <v>11</v>
      </c>
      <c r="L2" s="6" t="s">
        <v>15</v>
      </c>
      <c r="M2" s="9" t="s">
        <v>16</v>
      </c>
      <c r="N2" s="5" t="s">
        <v>17</v>
      </c>
      <c r="O2" s="5" t="s">
        <v>18</v>
      </c>
    </row>
    <row r="3" spans="1:15" ht="30.75">
      <c r="A3" s="1" t="s">
        <v>19</v>
      </c>
      <c r="B3" s="1" t="s">
        <v>11</v>
      </c>
      <c r="C3" s="1">
        <v>3</v>
      </c>
      <c r="D3" s="2">
        <v>10.5</v>
      </c>
      <c r="E3" s="3">
        <v>46205</v>
      </c>
      <c r="F3" s="8">
        <f t="shared" ref="F3:F9" si="0">C3*D3</f>
        <v>31.5</v>
      </c>
      <c r="G3" s="16" t="str">
        <f t="shared" ref="G3:G9" si="1">IF(D3&gt;20,"CARO","BARATO")</f>
        <v>BARATO</v>
      </c>
      <c r="H3" s="7">
        <f>SUM(F2:F9)</f>
        <v>414.3</v>
      </c>
      <c r="I3" s="14">
        <f>AVERAGE(D2:D9)</f>
        <v>16.400000000000002</v>
      </c>
      <c r="J3" s="18">
        <f>LARGE(D2:D9,1)</f>
        <v>45</v>
      </c>
      <c r="K3" s="7">
        <f ca="1">SUMIF(B2:D9,"Alimentação",D2:D9)</f>
        <v>88.300000000000011</v>
      </c>
      <c r="L3" s="7">
        <f ca="1">SUMIF(B2:D9,"Limpeza",D2:D9)</f>
        <v>15.5</v>
      </c>
      <c r="M3" s="18">
        <f ca="1">SUMIF(B2:D9,"Higiene",D2:D9)</f>
        <v>27.4</v>
      </c>
      <c r="N3" s="4" t="str">
        <f>VLOOKUP(A2,$A$2:$E$9,1,FALSE)</f>
        <v>Arroz</v>
      </c>
      <c r="O3" s="7">
        <f>VLOOKUP(A2, $A$2:$E$9,4,FALSE)</f>
        <v>25.9</v>
      </c>
    </row>
    <row r="4" spans="1:15" ht="30.75">
      <c r="A4" s="1" t="s">
        <v>20</v>
      </c>
      <c r="B4" s="1" t="s">
        <v>11</v>
      </c>
      <c r="C4" s="1">
        <v>2</v>
      </c>
      <c r="D4" s="2">
        <v>45</v>
      </c>
      <c r="E4" s="3">
        <v>46206</v>
      </c>
      <c r="F4" s="8">
        <f t="shared" si="0"/>
        <v>90</v>
      </c>
      <c r="G4" s="15" t="str">
        <f t="shared" si="1"/>
        <v>CARO</v>
      </c>
    </row>
    <row r="5" spans="1:15">
      <c r="A5" s="1" t="s">
        <v>21</v>
      </c>
      <c r="B5" s="1" t="s">
        <v>15</v>
      </c>
      <c r="C5" s="1">
        <v>6</v>
      </c>
      <c r="D5" s="2">
        <v>3.5</v>
      </c>
      <c r="E5" s="3">
        <v>46207</v>
      </c>
      <c r="F5" s="8">
        <f t="shared" si="0"/>
        <v>21</v>
      </c>
      <c r="G5" s="15" t="str">
        <f t="shared" si="1"/>
        <v>BARATO</v>
      </c>
    </row>
    <row r="6" spans="1:15">
      <c r="A6" s="1" t="s">
        <v>22</v>
      </c>
      <c r="B6" s="1" t="s">
        <v>15</v>
      </c>
      <c r="C6" s="1">
        <v>2</v>
      </c>
      <c r="D6" s="2">
        <v>12</v>
      </c>
      <c r="E6" s="3">
        <v>46208</v>
      </c>
      <c r="F6" s="8">
        <f t="shared" si="0"/>
        <v>24</v>
      </c>
      <c r="G6" s="15" t="str">
        <f t="shared" si="1"/>
        <v>BARATO</v>
      </c>
    </row>
    <row r="7" spans="1:15">
      <c r="A7" s="1" t="s">
        <v>23</v>
      </c>
      <c r="B7" s="1" t="s">
        <v>16</v>
      </c>
      <c r="C7" s="1">
        <v>3</v>
      </c>
      <c r="D7" s="2">
        <v>18.899999999999999</v>
      </c>
      <c r="E7" s="3">
        <v>46209</v>
      </c>
      <c r="F7" s="8">
        <f t="shared" si="0"/>
        <v>56.699999999999996</v>
      </c>
      <c r="G7" s="15" t="str">
        <f t="shared" si="1"/>
        <v>BARATO</v>
      </c>
    </row>
    <row r="8" spans="1:15" ht="30.75">
      <c r="A8" s="1" t="s">
        <v>24</v>
      </c>
      <c r="B8" s="1" t="s">
        <v>16</v>
      </c>
      <c r="C8" s="1">
        <v>4</v>
      </c>
      <c r="D8" s="2">
        <v>8.5</v>
      </c>
      <c r="E8" s="3">
        <v>46210</v>
      </c>
      <c r="F8" s="8">
        <f t="shared" si="0"/>
        <v>34</v>
      </c>
      <c r="G8" s="15" t="str">
        <f t="shared" si="1"/>
        <v>BARATO</v>
      </c>
    </row>
    <row r="9" spans="1:15" ht="30.75">
      <c r="A9" s="1" t="s">
        <v>25</v>
      </c>
      <c r="B9" s="1" t="s">
        <v>11</v>
      </c>
      <c r="C9" s="1">
        <v>4</v>
      </c>
      <c r="D9" s="2">
        <v>6.9</v>
      </c>
      <c r="E9" s="3">
        <v>46211</v>
      </c>
      <c r="F9" s="8">
        <f t="shared" si="0"/>
        <v>27.6</v>
      </c>
      <c r="G9" s="15" t="str">
        <f t="shared" si="1"/>
        <v>BARATO</v>
      </c>
    </row>
  </sheetData>
  <mergeCells count="3">
    <mergeCell ref="H1:J1"/>
    <mergeCell ref="K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2026-09-14T13:29:37Z</dcterms:created>
  <dcterms:modified xsi:type="dcterms:W3CDTF">2026-09-14T14:09:17Z</dcterms:modified>
  <cp:category/>
  <cp:contentStatus/>
</cp:coreProperties>
</file>