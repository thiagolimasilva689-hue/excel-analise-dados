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<sst xmlns="http://schemas.openxmlformats.org/spreadsheetml/2006/main" count="37" uniqueCount="27">
  <si>
    <t>Produto</t>
  </si>
  <si>
    <t>Categoria</t>
  </si>
  <si>
    <t>Preço</t>
  </si>
  <si>
    <t>Quantidade</t>
  </si>
  <si>
    <t>Vendido</t>
  </si>
  <si>
    <t>Status</t>
  </si>
  <si>
    <t>Arroz</t>
  </si>
  <si>
    <t>Alimentos</t>
  </si>
  <si>
    <t>sim</t>
  </si>
  <si>
    <t>Feijão</t>
  </si>
  <si>
    <t>não</t>
  </si>
  <si>
    <t>Notebook</t>
  </si>
  <si>
    <t>Eletrônicos</t>
  </si>
  <si>
    <t>Mouse</t>
  </si>
  <si>
    <t>Camiseta</t>
  </si>
  <si>
    <t>Vestuário</t>
  </si>
  <si>
    <t>Calça Jeans</t>
  </si>
  <si>
    <t>Detergente</t>
  </si>
  <si>
    <t>Limpeza</t>
  </si>
  <si>
    <t>Sabão em Pó</t>
  </si>
  <si>
    <t>SITUAÇÃO</t>
  </si>
  <si>
    <t>TOTAL DE PREÇO</t>
  </si>
  <si>
    <t>PREÇO MÉDIO</t>
  </si>
  <si>
    <t>QUANTIDADE DE ELETRONICOS</t>
  </si>
  <si>
    <t>SOMA DE VENDAS DE ALIMENTOS</t>
  </si>
  <si>
    <t>BUSCA DE PREÇO</t>
  </si>
  <si>
    <t>QUANTIDADE DE VENDAS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</si>
</sst>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0" fontId="2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3" max="3" width="27.13"/>
    <col customWidth="1" min="4" max="4" width="28.88"/>
    <col customWidth="1" min="5" max="5" width="15.88"/>
    <col customWidth="1" min="6" max="6" width="22.0"/>
    <col customWidth="1" min="7" max="7" width="15.38"/>
    <col customWidth="1" min="8" max="8" width="12.88"/>
    <col customWidth="1" min="9" max="9" width="27.13"/>
    <col customWidth="1" min="10" max="10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>
        <v>25.9</v>
      </c>
      <c r="D2" s="2">
        <v>100.0</v>
      </c>
      <c r="E2" s="2" t="s">
        <v>8</v>
      </c>
      <c r="F2" s="4" t="str">
        <f t="shared" ref="F2:F9" si="1">IF(C2&lt;100,"Barato","Caro")</f>
        <v>Barato</v>
      </c>
    </row>
    <row r="3">
      <c r="A3" s="2" t="s">
        <v>9</v>
      </c>
      <c r="B3" s="2" t="s">
        <v>7</v>
      </c>
      <c r="C3" s="3">
        <v>8.5</v>
      </c>
      <c r="D3" s="2">
        <v>150.0</v>
      </c>
      <c r="E3" s="2" t="s">
        <v>10</v>
      </c>
      <c r="F3" s="4" t="str">
        <f t="shared" si="1"/>
        <v>Barato</v>
      </c>
    </row>
    <row r="4">
      <c r="A4" s="2" t="s">
        <v>11</v>
      </c>
      <c r="B4" s="2" t="s">
        <v>12</v>
      </c>
      <c r="C4" s="3">
        <v>3500.0</v>
      </c>
      <c r="D4" s="2">
        <v>10.0</v>
      </c>
      <c r="E4" s="2" t="s">
        <v>8</v>
      </c>
      <c r="F4" s="4" t="str">
        <f t="shared" si="1"/>
        <v>Caro</v>
      </c>
    </row>
    <row r="5">
      <c r="A5" s="2" t="s">
        <v>13</v>
      </c>
      <c r="B5" s="2" t="s">
        <v>12</v>
      </c>
      <c r="C5" s="3">
        <v>89.9</v>
      </c>
      <c r="D5" s="2">
        <v>50.0</v>
      </c>
      <c r="E5" s="2" t="s">
        <v>8</v>
      </c>
      <c r="F5" s="4" t="str">
        <f t="shared" si="1"/>
        <v>Barato</v>
      </c>
    </row>
    <row r="6">
      <c r="A6" s="2" t="s">
        <v>14</v>
      </c>
      <c r="B6" s="2" t="s">
        <v>15</v>
      </c>
      <c r="C6" s="3">
        <v>49.9</v>
      </c>
      <c r="D6" s="2">
        <v>80.0</v>
      </c>
      <c r="E6" s="2" t="s">
        <v>10</v>
      </c>
      <c r="F6" s="4" t="str">
        <f t="shared" si="1"/>
        <v>Barato</v>
      </c>
    </row>
    <row r="7">
      <c r="A7" s="2" t="s">
        <v>16</v>
      </c>
      <c r="B7" s="2" t="s">
        <v>15</v>
      </c>
      <c r="C7" s="3">
        <v>129.9</v>
      </c>
      <c r="D7" s="2">
        <v>40.0</v>
      </c>
      <c r="E7" s="2" t="s">
        <v>8</v>
      </c>
      <c r="F7" s="4" t="str">
        <f t="shared" si="1"/>
        <v>Caro</v>
      </c>
    </row>
    <row r="8">
      <c r="A8" s="2" t="s">
        <v>17</v>
      </c>
      <c r="B8" s="2" t="s">
        <v>18</v>
      </c>
      <c r="C8" s="3">
        <v>3.5</v>
      </c>
      <c r="D8" s="2">
        <v>200.0</v>
      </c>
      <c r="E8" s="2" t="s">
        <v>8</v>
      </c>
      <c r="F8" s="4" t="str">
        <f t="shared" si="1"/>
        <v>Barato</v>
      </c>
    </row>
    <row r="9">
      <c r="A9" s="2" t="s">
        <v>19</v>
      </c>
      <c r="B9" s="2" t="s">
        <v>18</v>
      </c>
      <c r="C9" s="3">
        <v>18.9</v>
      </c>
      <c r="D9" s="2">
        <v>120.0</v>
      </c>
      <c r="E9" s="2" t="s">
        <v>10</v>
      </c>
      <c r="F9" s="4" t="str">
        <f t="shared" si="1"/>
        <v>Barato</v>
      </c>
    </row>
    <row r="16">
      <c r="A16" s="5" t="s">
        <v>20</v>
      </c>
      <c r="B16" s="6"/>
      <c r="C16" s="6"/>
      <c r="D16" s="6"/>
      <c r="E16" s="6"/>
      <c r="F16" s="7"/>
    </row>
    <row r="17">
      <c r="A17" s="2" t="s">
        <v>21</v>
      </c>
      <c r="B17" s="2" t="s">
        <v>22</v>
      </c>
      <c r="C17" s="2" t="s">
        <v>23</v>
      </c>
      <c r="D17" s="2" t="s">
        <v>24</v>
      </c>
      <c r="E17" s="2" t="s">
        <v>25</v>
      </c>
      <c r="F17" s="2" t="s">
        <v>26</v>
      </c>
    </row>
    <row r="18">
      <c r="A18" s="8">
        <f>SUM(C2:C9)</f>
        <v>3826.5</v>
      </c>
      <c r="B18" s="8">
        <f>MEDIAN(C2:C9)</f>
        <v>37.9</v>
      </c>
      <c r="C18" s="4">
        <f>COUNTIF(A2:E9,"Eletrônicos")</f>
        <v>2</v>
      </c>
      <c r="D18" s="4">
        <f>SUMIF(A2:E9,"Alimentos",C2:C9)</f>
        <v>250</v>
      </c>
      <c r="E18" s="8">
        <f>VLOOKUP("Mouse",A2:F9,3,FALSE)</f>
        <v>89.9</v>
      </c>
      <c r="F18" s="4">
        <f>COUNTIF(E2:E9,"sim")</f>
        <v>5</v>
      </c>
    </row>
  </sheetData>
  <mergeCells count="1">
    <mergeCell ref="A16:F16"/>
  </mergeCells>
  <drawing r:id="rId1"/>
</worksheet>
</file>