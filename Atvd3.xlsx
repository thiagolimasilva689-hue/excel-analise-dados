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295F65A-1194-401B-8005-9D9CB93E3B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</sheets>
  <calcPr calcId="191028" calcCompleted="0"/>
  <pivotCaches>
    <pivotCache cacheId="1297" r:id="rId8"/>
    <pivotCache cacheId="129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F4" i="6"/>
  <c r="F5" i="6"/>
  <c r="F2" i="6"/>
  <c r="E2" i="3"/>
  <c r="H3" i="2"/>
  <c r="G3" i="2"/>
  <c r="D3" i="1"/>
  <c r="D4" i="1"/>
  <c r="D2" i="1"/>
</calcChain>
</file>

<file path=xl/sharedStrings.xml><?xml version="1.0" encoding="utf-8"?>
<sst xmlns="http://schemas.openxmlformats.org/spreadsheetml/2006/main" count="80" uniqueCount="37">
  <si>
    <t>Produto</t>
  </si>
  <si>
    <t>Preço</t>
  </si>
  <si>
    <t>Quantidade</t>
  </si>
  <si>
    <t>Valor Total</t>
  </si>
  <si>
    <t>Arroz</t>
  </si>
  <si>
    <t>Feijão</t>
  </si>
  <si>
    <t>Carne</t>
  </si>
  <si>
    <t>Produtos</t>
  </si>
  <si>
    <t>Vendas</t>
  </si>
  <si>
    <t>Buscar do produto</t>
  </si>
  <si>
    <t>A</t>
  </si>
  <si>
    <t>B</t>
  </si>
  <si>
    <t>Codigo</t>
  </si>
  <si>
    <t>Nome</t>
  </si>
  <si>
    <t>Código</t>
  </si>
  <si>
    <t>A001</t>
  </si>
  <si>
    <t>A002</t>
  </si>
  <si>
    <t>A003</t>
  </si>
  <si>
    <t>Vendedor</t>
  </si>
  <si>
    <t>Região</t>
  </si>
  <si>
    <t>Valor</t>
  </si>
  <si>
    <t>Resultado da ana</t>
  </si>
  <si>
    <t>Ana</t>
  </si>
  <si>
    <t>Sul</t>
  </si>
  <si>
    <t>Bruno</t>
  </si>
  <si>
    <t>Sudeste</t>
  </si>
  <si>
    <t>Carlos</t>
  </si>
  <si>
    <t>Nordeste</t>
  </si>
  <si>
    <t>Data</t>
  </si>
  <si>
    <t>Categoria</t>
  </si>
  <si>
    <t>Eletrônicos</t>
  </si>
  <si>
    <t>Alimentos</t>
  </si>
  <si>
    <t>Soma de Valor</t>
  </si>
  <si>
    <t>Total Geral</t>
  </si>
  <si>
    <t>Notebook</t>
  </si>
  <si>
    <t>Mouse</t>
  </si>
  <si>
    <t>Soma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</si>
</sst>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sz val="11"/>
      <color rgb="FF0F1115"/>
      <name val="Quote-Cjk-Patch"/>
      <charset val="1"/>
    </font>
    <font>
      <sz val="11"/>
      <color rgb="FF0F1115"/>
      <name val="Calibri"/>
      <scheme val="minor"/>
    </font>
    <font>
      <sz val="11"/>
      <color rgb="FF0F1115"/>
      <name val="Calibri Light"/>
      <scheme val="major"/>
    </font>
    <font>
      <b/>
      <sz val="11"/>
      <color theme="1"/>
      <name val="Calibri"/>
      <family val="2"/>
      <scheme val="minor"/>
    </font>
    <font>
      <sz val="11"/>
      <color rgb="FF0F1115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0" fillId="0" borderId="1" xfId="0" applyNumberFormat="1" applyBorder="1"/>
    <xf numFmtId="14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0" fontId="0" fillId="0" borderId="0" xfId="0" pivotButton="1"/>
    <xf numFmtId="164" fontId="0" fillId="0" borderId="0" xfId="0" applyNumberFormat="1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870199074074" createdVersion="8" refreshedVersion="8" minRefreshableVersion="3" recordCount="4" xr:uid="{F2B9F797-9503-4F42-A353-B34E0ED399CE}">
  <cacheSource type="worksheet">
    <worksheetSource ref="A1:D5" sheet="Planilha4"/>
  </cacheSource>
  <cacheFields count="4">
    <cacheField name="Data" numFmtId="14">
      <sharedItems containsSemiMixedTypes="0" containsNonDate="0" containsDate="1" containsString="0" minDate="2026-01-01T00:00:00" maxDate="2026-01-05T00:00:00"/>
    </cacheField>
    <cacheField name="Vendedor" numFmtId="0">
      <sharedItems count="3">
        <s v="Ana"/>
        <s v="Bruno"/>
        <s v="Carlos"/>
      </sharedItems>
    </cacheField>
    <cacheField name="Categoria" numFmtId="0">
      <sharedItems/>
    </cacheField>
    <cacheField name="Valor" numFmtId="164">
      <sharedItems containsSemiMixedTypes="0" containsString="0" containsNumber="1" containsInteger="1" minValue="5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880222337961" createdVersion="8" refreshedVersion="8" minRefreshableVersion="3" recordCount="4" xr:uid="{3CCC4C65-C48D-4DEB-9F8F-7FE35E9E57B8}">
  <cacheSource type="worksheet">
    <worksheetSource ref="A1:F5" sheet="Planilha6"/>
  </cacheSource>
  <cacheFields count="6">
    <cacheField name="Data" numFmtId="14">
      <sharedItems containsSemiMixedTypes="0" containsNonDate="0" containsDate="1" containsString="0" minDate="2026-01-01T00:00:00" maxDate="2026-01-05T00:00:00" count="4">
        <d v="2026-01-01T00:00:00"/>
        <d v="2026-01-02T00:00:00"/>
        <d v="2026-01-03T00:00:00"/>
        <d v="2026-01-04T00:00:00"/>
      </sharedItems>
    </cacheField>
    <cacheField name="Produto" numFmtId="0">
      <sharedItems/>
    </cacheField>
    <cacheField name="Categoria" numFmtId="0">
      <sharedItems count="2">
        <s v="Alimentos"/>
        <s v="Eletrônicos"/>
      </sharedItems>
    </cacheField>
    <cacheField name="Preço" numFmtId="164">
      <sharedItems containsSemiMixedTypes="0" containsString="0" containsNumber="1" minValue="10.5" maxValue="3500"/>
    </cacheField>
    <cacheField name="Quantidade" numFmtId="0">
      <sharedItems containsSemiMixedTypes="0" containsString="0" containsNumber="1" containsInteger="1" minValue="2" maxValue="10"/>
    </cacheField>
    <cacheField name="Valor Total" numFmtId="164">
      <sharedItems containsSemiMixedTypes="0" containsString="0" containsNumber="1" minValue="52.5" maxValue="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d v="2026-01-01T00:00:00"/>
    <x v="0"/>
    <s v="Eletrônicos"/>
    <n v="1000"/>
  </r>
  <r>
    <d v="2026-01-02T00:00:00"/>
    <x v="1"/>
    <s v="Alimentos"/>
    <n v="500"/>
  </r>
  <r>
    <d v="2026-01-03T00:00:00"/>
    <x v="0"/>
    <s v="Alimentos"/>
    <n v="800"/>
  </r>
  <r>
    <d v="2026-01-04T00:00:00"/>
    <x v="2"/>
    <s v="Eletrônicos"/>
    <n v="1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Arroz"/>
    <x v="0"/>
    <n v="25.9"/>
    <n v="10"/>
    <n v="259"/>
  </r>
  <r>
    <x v="1"/>
    <s v="Notebook"/>
    <x v="1"/>
    <n v="3500"/>
    <n v="2"/>
    <n v="7000"/>
  </r>
  <r>
    <x v="2"/>
    <s v="Feijão"/>
    <x v="0"/>
    <n v="10.5"/>
    <n v="5"/>
    <n v="52.5"/>
  </r>
  <r>
    <x v="3"/>
    <s v="Mouse"/>
    <x v="1"/>
    <n v="80"/>
    <n v="10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64278-5C9D-4D03-88B3-DD88AF41797C}" name="Tabela dinâmica1" cacheId="12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7" firstHeaderRow="1" firstDataRow="1" firstDataCol="1"/>
  <pivotFields count="4"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16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3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C742B-3030-4BD1-B0C4-FAD26D912271}" name="Tabela dinâmica3" cacheId="12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6" firstHeaderRow="1" firstDataRow="1" firstDataCol="1"/>
  <pivotFields count="6">
    <pivotField compact="0" numFmtId="14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/>
    <pivotField dataField="1" compact="0" numFmtId="164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oma de Valor Total" fld="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5"/>
  <cols>
    <col min="1" max="1" width="11.85546875" customWidth="1"/>
    <col min="2" max="2" width="12.85546875" customWidth="1"/>
    <col min="3" max="3" width="16" customWidth="1"/>
    <col min="4" max="4" width="10.7109375" bestFit="1" customWidth="1"/>
  </cols>
  <sheetData>
    <row r="1" spans="1:4" ht="16.5">
      <c r="A1" s="2" t="s">
        <v>0</v>
      </c>
      <c r="B1" s="2" t="s">
        <v>1</v>
      </c>
      <c r="C1" s="3" t="s">
        <v>2</v>
      </c>
      <c r="D1" s="6" t="s">
        <v>3</v>
      </c>
    </row>
    <row r="2" spans="1:4">
      <c r="A2" s="6" t="s">
        <v>4</v>
      </c>
      <c r="B2" s="4">
        <v>25.9</v>
      </c>
      <c r="C2" s="6">
        <v>10</v>
      </c>
      <c r="D2" s="4">
        <f>B2*C2</f>
        <v>259</v>
      </c>
    </row>
    <row r="3" spans="1:4">
      <c r="A3" s="6" t="s">
        <v>5</v>
      </c>
      <c r="B3" s="4">
        <v>25.9</v>
      </c>
      <c r="C3" s="6">
        <v>5</v>
      </c>
      <c r="D3" s="4">
        <f t="shared" ref="D3:D4" si="0">B3*C3</f>
        <v>129.5</v>
      </c>
    </row>
    <row r="4" spans="1:4">
      <c r="A4" s="6" t="s">
        <v>6</v>
      </c>
      <c r="B4" s="4">
        <v>45</v>
      </c>
      <c r="C4" s="6">
        <v>2</v>
      </c>
      <c r="D4" s="4">
        <f t="shared" si="0"/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AE32-DCD6-4D91-94D8-D0BD6A6B382F}">
  <dimension ref="A1:H6"/>
  <sheetViews>
    <sheetView workbookViewId="0">
      <selection activeCell="J6" sqref="J6"/>
    </sheetView>
  </sheetViews>
  <sheetFormatPr defaultRowHeight="15"/>
  <cols>
    <col min="5" max="5" width="18" customWidth="1"/>
  </cols>
  <sheetData>
    <row r="1" spans="1:8">
      <c r="A1" s="16" t="s">
        <v>7</v>
      </c>
      <c r="B1" s="16"/>
      <c r="D1" s="16" t="s">
        <v>8</v>
      </c>
      <c r="E1" s="16"/>
      <c r="G1" s="17" t="s">
        <v>9</v>
      </c>
      <c r="H1" s="17"/>
    </row>
    <row r="2" spans="1:8" ht="16.5">
      <c r="A2" s="7" t="s">
        <v>10</v>
      </c>
      <c r="B2" s="7" t="s">
        <v>11</v>
      </c>
      <c r="D2" s="7" t="s">
        <v>10</v>
      </c>
      <c r="E2" s="7" t="s">
        <v>11</v>
      </c>
      <c r="G2" s="6" t="s">
        <v>12</v>
      </c>
      <c r="H2" s="6" t="s">
        <v>13</v>
      </c>
    </row>
    <row r="3" spans="1:8" ht="16.5">
      <c r="A3" s="7" t="s">
        <v>14</v>
      </c>
      <c r="B3" s="7" t="s">
        <v>13</v>
      </c>
      <c r="D3" s="7" t="s">
        <v>14</v>
      </c>
      <c r="E3" s="7" t="s">
        <v>2</v>
      </c>
      <c r="G3" s="6" t="str">
        <f>VLOOKUP(D4,A3:E6,4,FALSE)</f>
        <v>A001</v>
      </c>
      <c r="H3" s="6" t="str">
        <f>VLOOKUP(B4,B3:D6,1,FALSE)</f>
        <v>Arroz</v>
      </c>
    </row>
    <row r="4" spans="1:8" ht="16.5">
      <c r="A4" s="7" t="s">
        <v>15</v>
      </c>
      <c r="B4" s="7" t="s">
        <v>4</v>
      </c>
      <c r="D4" s="7" t="s">
        <v>15</v>
      </c>
      <c r="E4" s="7">
        <v>10</v>
      </c>
    </row>
    <row r="5" spans="1:8" ht="16.5">
      <c r="A5" s="7" t="s">
        <v>16</v>
      </c>
      <c r="B5" s="7" t="s">
        <v>5</v>
      </c>
      <c r="D5" s="7" t="s">
        <v>16</v>
      </c>
      <c r="E5" s="7">
        <v>5</v>
      </c>
    </row>
    <row r="6" spans="1:8" ht="16.5">
      <c r="A6" s="7" t="s">
        <v>17</v>
      </c>
      <c r="B6" s="7" t="s">
        <v>6</v>
      </c>
      <c r="D6" s="7" t="s">
        <v>17</v>
      </c>
      <c r="E6" s="7">
        <v>2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9652-E45F-4B2F-A1EF-D34D237B2D7D}">
  <dimension ref="A1:E6"/>
  <sheetViews>
    <sheetView workbookViewId="0">
      <selection activeCell="L7" sqref="L7"/>
    </sheetView>
  </sheetViews>
  <sheetFormatPr defaultRowHeight="15"/>
  <cols>
    <col min="3" max="3" width="12.28515625" customWidth="1"/>
    <col min="5" max="5" width="15.28515625" customWidth="1"/>
  </cols>
  <sheetData>
    <row r="1" spans="1:5" ht="30.75">
      <c r="A1" s="2" t="s">
        <v>18</v>
      </c>
      <c r="B1" s="2" t="s">
        <v>19</v>
      </c>
      <c r="C1" s="2" t="s">
        <v>20</v>
      </c>
      <c r="E1" s="1" t="s">
        <v>21</v>
      </c>
    </row>
    <row r="2" spans="1:5">
      <c r="A2" s="2" t="s">
        <v>22</v>
      </c>
      <c r="B2" s="2" t="s">
        <v>23</v>
      </c>
      <c r="C2" s="8">
        <v>1000</v>
      </c>
      <c r="E2" s="9">
        <f ca="1">SUMIF(A2:C6,"Ana",C2:C6)</f>
        <v>3000</v>
      </c>
    </row>
    <row r="3" spans="1:5">
      <c r="A3" s="2" t="s">
        <v>24</v>
      </c>
      <c r="B3" s="2" t="s">
        <v>25</v>
      </c>
      <c r="C3" s="8">
        <v>1500</v>
      </c>
    </row>
    <row r="4" spans="1:5">
      <c r="A4" s="2" t="s">
        <v>22</v>
      </c>
      <c r="B4" s="2" t="s">
        <v>23</v>
      </c>
      <c r="C4" s="8">
        <v>2000</v>
      </c>
    </row>
    <row r="5" spans="1:5">
      <c r="A5" s="2" t="s">
        <v>26</v>
      </c>
      <c r="B5" s="2" t="s">
        <v>27</v>
      </c>
      <c r="C5" s="8">
        <v>1800</v>
      </c>
    </row>
    <row r="6" spans="1:5">
      <c r="A6" s="2" t="s">
        <v>24</v>
      </c>
      <c r="B6" s="2" t="s">
        <v>25</v>
      </c>
      <c r="C6" s="8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AB63-8A75-44C8-B71E-7E0B4E4C7265}">
  <dimension ref="A1:D5"/>
  <sheetViews>
    <sheetView workbookViewId="0">
      <selection sqref="A1:D5"/>
    </sheetView>
  </sheetViews>
  <sheetFormatPr defaultRowHeight="15"/>
  <cols>
    <col min="1" max="1" width="12.7109375" customWidth="1"/>
    <col min="3" max="3" width="11.28515625" customWidth="1"/>
    <col min="4" max="4" width="12.140625" customWidth="1"/>
  </cols>
  <sheetData>
    <row r="1" spans="1:4" ht="30.75">
      <c r="A1" s="2" t="s">
        <v>28</v>
      </c>
      <c r="B1" s="2" t="s">
        <v>18</v>
      </c>
      <c r="C1" s="2" t="s">
        <v>29</v>
      </c>
      <c r="D1" s="2" t="s">
        <v>20</v>
      </c>
    </row>
    <row r="2" spans="1:4">
      <c r="A2" s="10">
        <v>46023</v>
      </c>
      <c r="B2" s="2" t="s">
        <v>22</v>
      </c>
      <c r="C2" s="2" t="s">
        <v>30</v>
      </c>
      <c r="D2" s="11">
        <v>1000</v>
      </c>
    </row>
    <row r="3" spans="1:4">
      <c r="A3" s="10">
        <v>46024</v>
      </c>
      <c r="B3" s="2" t="s">
        <v>24</v>
      </c>
      <c r="C3" s="2" t="s">
        <v>31</v>
      </c>
      <c r="D3" s="11">
        <v>500</v>
      </c>
    </row>
    <row r="4" spans="1:4">
      <c r="A4" s="10">
        <v>46025</v>
      </c>
      <c r="B4" s="2" t="s">
        <v>22</v>
      </c>
      <c r="C4" s="2" t="s">
        <v>31</v>
      </c>
      <c r="D4" s="11">
        <v>800</v>
      </c>
    </row>
    <row r="5" spans="1:4">
      <c r="A5" s="10">
        <v>46026</v>
      </c>
      <c r="B5" s="2" t="s">
        <v>26</v>
      </c>
      <c r="C5" s="2" t="s">
        <v>30</v>
      </c>
      <c r="D5" s="11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159C-B84F-4B07-BF22-BB7A0F1B1B97}">
  <dimension ref="A3:B7"/>
  <sheetViews>
    <sheetView workbookViewId="0"/>
  </sheetViews>
  <sheetFormatPr defaultRowHeight="15"/>
  <cols>
    <col min="1" max="1" width="13.140625" bestFit="1" customWidth="1"/>
    <col min="2" max="2" width="14.140625" bestFit="1" customWidth="1"/>
  </cols>
  <sheetData>
    <row r="3" spans="1:2">
      <c r="A3" s="12" t="s">
        <v>18</v>
      </c>
      <c r="B3" t="s">
        <v>32</v>
      </c>
    </row>
    <row r="4" spans="1:2">
      <c r="A4" t="s">
        <v>22</v>
      </c>
      <c r="B4" s="13">
        <v>1800</v>
      </c>
    </row>
    <row r="5" spans="1:2">
      <c r="A5" t="s">
        <v>24</v>
      </c>
      <c r="B5" s="13">
        <v>500</v>
      </c>
    </row>
    <row r="6" spans="1:2">
      <c r="A6" t="s">
        <v>26</v>
      </c>
      <c r="B6" s="13">
        <v>1200</v>
      </c>
    </row>
    <row r="7" spans="1:2">
      <c r="A7" t="s">
        <v>33</v>
      </c>
      <c r="B7" s="13">
        <v>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C6B0-0617-4F3C-9AEC-81EA27B26B6E}">
  <dimension ref="A1:F5"/>
  <sheetViews>
    <sheetView workbookViewId="0">
      <selection sqref="A1:F5"/>
    </sheetView>
  </sheetViews>
  <sheetFormatPr defaultRowHeight="15"/>
  <cols>
    <col min="1" max="1" width="11.85546875" customWidth="1"/>
    <col min="2" max="2" width="10.5703125" customWidth="1"/>
    <col min="3" max="3" width="13.28515625" customWidth="1"/>
    <col min="4" max="4" width="12.7109375" customWidth="1"/>
    <col min="5" max="5" width="16.140625" customWidth="1"/>
    <col min="6" max="6" width="11.7109375" customWidth="1"/>
  </cols>
  <sheetData>
    <row r="1" spans="1:6">
      <c r="A1" s="14" t="s">
        <v>28</v>
      </c>
      <c r="B1" s="14" t="s">
        <v>0</v>
      </c>
      <c r="C1" s="14" t="s">
        <v>29</v>
      </c>
      <c r="D1" s="14" t="s">
        <v>1</v>
      </c>
      <c r="E1" s="15" t="s">
        <v>2</v>
      </c>
      <c r="F1" s="6" t="s">
        <v>3</v>
      </c>
    </row>
    <row r="2" spans="1:6">
      <c r="A2" s="18">
        <v>46023</v>
      </c>
      <c r="B2" s="14" t="s">
        <v>4</v>
      </c>
      <c r="C2" s="14" t="s">
        <v>31</v>
      </c>
      <c r="D2" s="19">
        <v>25.9</v>
      </c>
      <c r="E2" s="15">
        <v>10</v>
      </c>
      <c r="F2" s="5">
        <f>D2*E2</f>
        <v>259</v>
      </c>
    </row>
    <row r="3" spans="1:6">
      <c r="A3" s="18">
        <v>46024</v>
      </c>
      <c r="B3" s="14" t="s">
        <v>34</v>
      </c>
      <c r="C3" s="14" t="s">
        <v>30</v>
      </c>
      <c r="D3" s="19">
        <v>3500</v>
      </c>
      <c r="E3" s="15">
        <v>2</v>
      </c>
      <c r="F3" s="5">
        <f t="shared" ref="F3:F5" si="0">D3*E3</f>
        <v>7000</v>
      </c>
    </row>
    <row r="4" spans="1:6">
      <c r="A4" s="18">
        <v>46025</v>
      </c>
      <c r="B4" s="14" t="s">
        <v>5</v>
      </c>
      <c r="C4" s="14" t="s">
        <v>31</v>
      </c>
      <c r="D4" s="19">
        <v>10.5</v>
      </c>
      <c r="E4" s="15">
        <v>5</v>
      </c>
      <c r="F4" s="5">
        <f t="shared" si="0"/>
        <v>52.5</v>
      </c>
    </row>
    <row r="5" spans="1:6">
      <c r="A5" s="18">
        <v>46026</v>
      </c>
      <c r="B5" s="14" t="s">
        <v>35</v>
      </c>
      <c r="C5" s="14" t="s">
        <v>30</v>
      </c>
      <c r="D5" s="19">
        <v>80</v>
      </c>
      <c r="E5" s="15">
        <v>10</v>
      </c>
      <c r="F5" s="5">
        <f t="shared" si="0"/>
        <v>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AA72-F928-4E88-B5E8-9E564F2CF440}">
  <dimension ref="A3:B6"/>
  <sheetViews>
    <sheetView workbookViewId="0">
      <selection activeCell="H12" sqref="H12"/>
    </sheetView>
  </sheetViews>
  <sheetFormatPr defaultRowHeight="15"/>
  <cols>
    <col min="1" max="1" width="12.85546875" bestFit="1" customWidth="1"/>
    <col min="2" max="2" width="19.42578125" bestFit="1" customWidth="1"/>
  </cols>
  <sheetData>
    <row r="3" spans="1:2">
      <c r="A3" s="12" t="s">
        <v>29</v>
      </c>
      <c r="B3" t="s">
        <v>36</v>
      </c>
    </row>
    <row r="4" spans="1:2">
      <c r="A4" t="s">
        <v>31</v>
      </c>
      <c r="B4" s="13">
        <v>311.5</v>
      </c>
    </row>
    <row r="5" spans="1:2">
      <c r="A5" t="s">
        <v>30</v>
      </c>
      <c r="B5" s="13">
        <v>7800</v>
      </c>
    </row>
    <row r="6" spans="1:2">
      <c r="A6" t="s">
        <v>33</v>
      </c>
      <c r="B6" s="13">
        <v>8111.5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2026-09-23T00:26:48Z</dcterms:created>
  <dcterms:modified xsi:type="dcterms:W3CDTF">2026-09-23T01:08:37Z</dcterms:modified>
  <cp:category/>
  <cp:contentStatus/>
</cp:coreProperties>
</file>