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Página3" sheetId="3" r:id="rId7"/>
    <sheet state="visible" name="Página4" sheetId="4" r:id="rId8"/>
    <sheet state="visible" name="Página5" sheetId="5" r:id="rId9"/>
    <sheet state="visible" name="Tabela dinâmica 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<sst xmlns="http://schemas.openxmlformats.org/spreadsheetml/2006/main" count="70" uniqueCount="59">
  <si>
    <t>Código</t>
  </si>
  <si>
    <t>Aluno</t>
  </si>
  <si>
    <t>Data</t>
  </si>
  <si>
    <t>Produto</t>
  </si>
  <si>
    <t>Preço</t>
  </si>
  <si>
    <t>BUSCAR</t>
  </si>
  <si>
    <t>Quantidade</t>
  </si>
  <si>
    <t>Valor</t>
  </si>
  <si>
    <t>Arroz</t>
  </si>
  <si>
    <t>A001</t>
  </si>
  <si>
    <t>Feijão</t>
  </si>
  <si>
    <t>Nota 1</t>
  </si>
  <si>
    <t>Nota 2</t>
  </si>
  <si>
    <t>Carne</t>
  </si>
  <si>
    <t>Nota 3</t>
  </si>
  <si>
    <t>Descrição</t>
  </si>
  <si>
    <t>Média</t>
  </si>
  <si>
    <t>Categoria</t>
  </si>
  <si>
    <t>Situação</t>
  </si>
  <si>
    <t>Requeijão Cremosos</t>
  </si>
  <si>
    <t>A002</t>
  </si>
  <si>
    <t>SITUAÇÃO</t>
  </si>
  <si>
    <t>Ana</t>
  </si>
  <si>
    <t>Miojo de Apimentado Nissin</t>
  </si>
  <si>
    <t>Ioguente Moranggo</t>
  </si>
  <si>
    <t>Massa de Pizza</t>
  </si>
  <si>
    <t>bala azedinho cubinho</t>
  </si>
  <si>
    <t xml:space="preserve"> limão siciliano  </t>
  </si>
  <si>
    <t>Feira</t>
  </si>
  <si>
    <t>Alimentação</t>
  </si>
  <si>
    <t>ervá de tereré</t>
  </si>
  <si>
    <t>TOTAL</t>
  </si>
  <si>
    <t>MÉDIA</t>
  </si>
  <si>
    <t>GASTOS</t>
  </si>
  <si>
    <t>Gasolina</t>
  </si>
  <si>
    <t>Transporte</t>
  </si>
  <si>
    <t>João</t>
  </si>
  <si>
    <t>A003</t>
  </si>
  <si>
    <t>A004</t>
  </si>
  <si>
    <t>Leite</t>
  </si>
  <si>
    <t>Maria</t>
  </si>
  <si>
    <t>Pedro</t>
  </si>
  <si>
    <t>Internet</t>
  </si>
  <si>
    <t>Contas</t>
  </si>
  <si>
    <t>Farmácia</t>
  </si>
  <si>
    <t>Saúde</t>
  </si>
  <si>
    <t>Lanche</t>
  </si>
  <si>
    <t>Mês</t>
  </si>
  <si>
    <t>Meta</t>
  </si>
  <si>
    <t>Realizado</t>
  </si>
  <si>
    <t>% Atingido</t>
  </si>
  <si>
    <t>Status</t>
  </si>
  <si>
    <t>Janeiro</t>
  </si>
  <si>
    <t>Fevereiro</t>
  </si>
  <si>
    <t>Março</t>
  </si>
  <si>
    <t>Abril</t>
  </si>
  <si>
    <t>Maio</t>
  </si>
  <si>
    <t>SUM de Quantidade</t>
  </si>
  <si>
    <t>Total geral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</si>
</sst>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9">
    <font>
      <sz val="10.0"/>
      <color rgb="FF000000"/>
      <name val="Arial"/>
      <scheme val="minor"/>
    </font>
    <font>
      <b/>
      <sz val="11.0"/>
      <color rgb="FF0F1115"/>
      <name val="&quot;system-ui&quot;"/>
    </font>
    <font>
      <sz val="11.0"/>
      <color rgb="FF0F1115"/>
      <name val="&quot;system-ui&quot;"/>
    </font>
    <font>
      <color theme="1"/>
      <name val="Arial"/>
      <scheme val="minor"/>
    </font>
    <font/>
    <font>
      <sz val="11.0"/>
      <color rgb="FF0F1115"/>
      <name val="Arial"/>
    </font>
    <font>
      <sz val="11.0"/>
      <color theme="1"/>
      <name val="&quot;system-ui&quot;"/>
    </font>
    <font>
      <b/>
      <color theme="1"/>
      <name val="Arial"/>
      <scheme val="minor"/>
    </font>
    <font>
      <sz val="9.0"/>
      <color rgb="FF000000"/>
      <name val="&quot;Segoe U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1" fillId="0" fontId="5" numFmtId="164" xfId="0" applyAlignment="1" applyBorder="1" applyFont="1" applyNumberFormat="1">
      <alignment horizontal="center" readingOrder="0" shrinkToFit="0" wrapText="1"/>
    </xf>
    <xf borderId="4" fillId="0" fontId="4" numFmtId="0" xfId="0" applyBorder="1" applyFont="1"/>
    <xf borderId="1" fillId="0" fontId="2" numFmtId="165" xfId="0" applyAlignment="1" applyBorder="1" applyFont="1" applyNumberFormat="1">
      <alignment horizontal="center" readingOrder="0" shrinkToFit="0" wrapText="1"/>
    </xf>
    <xf borderId="1" fillId="2" fontId="6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/>
    </xf>
    <xf borderId="2" fillId="0" fontId="7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 shrinkToFit="0" wrapText="1"/>
    </xf>
    <xf borderId="1" fillId="0" fontId="5" numFmtId="165" xfId="0" applyAlignment="1" applyBorder="1" applyFont="1" applyNumberFormat="1">
      <alignment horizontal="center" readingOrder="0" shrinkToFit="0" wrapText="1"/>
    </xf>
    <xf borderId="1" fillId="0" fontId="3" numFmtId="0" xfId="0" applyBorder="1" applyFont="1"/>
    <xf borderId="1" fillId="0" fontId="7" numFmtId="0" xfId="0" applyAlignment="1" applyBorder="1" applyFont="1">
      <alignment horizontal="center" readingOrder="0"/>
    </xf>
    <xf borderId="1" fillId="2" fontId="8" numFmtId="0" xfId="0" applyAlignment="1" applyBorder="1" applyFill="1" applyFont="1">
      <alignment horizontal="center" vertical="top"/>
    </xf>
    <xf borderId="1" fillId="0" fontId="3" numFmtId="165" xfId="0" applyAlignment="1" applyBorder="1" applyFont="1" applyNumberFormat="1">
      <alignment horizontal="center"/>
    </xf>
    <xf borderId="1" fillId="0" fontId="3" numFmtId="165" xfId="0" applyBorder="1" applyFont="1" applyNumberFormat="1"/>
    <xf borderId="1" fillId="0" fontId="2" numFmtId="0" xfId="0" applyAlignment="1" applyBorder="1" applyFont="1">
      <alignment horizontal="left" readingOrder="0" shrinkToFit="0" wrapText="1"/>
    </xf>
    <xf borderId="1" fillId="2" fontId="8" numFmtId="0" xfId="0" applyAlignment="1" applyBorder="1" applyFill="1" applyFont="1">
      <alignment vertical="top"/>
    </xf>
    <xf borderId="1" fillId="2" fontId="8" numFmtId="2" xfId="0" applyAlignment="1" applyBorder="1" applyFill="1" applyFont="1" applyNumberFormat="1">
      <alignment horizontal="center" vertical="top"/>
    </xf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1" sheet="Página4"/>
  </cacheSource>
  <cacheFields>
    <cacheField name="Data" numFmtId="164">
      <sharedItems containsSemiMixedTypes="0" containsDate="1" containsString="0"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</sharedItems>
    </cacheField>
    <cacheField name="Produto" numFmtId="0">
      <sharedItems>
        <s v="Arroz"/>
        <s v="Feijão"/>
        <s v="Carne"/>
        <s v="Requeijão Cremosos"/>
        <s v="Miojo de Apimentado Nissin"/>
        <s v="Ioguente Moranggo"/>
        <s v="Massa de Pizza"/>
        <s v="bala azedinho cubinho"/>
        <s v=" limão siciliano  "/>
        <s v="ervá de tereré"/>
      </sharedItems>
    </cacheField>
    <cacheField name="Quantidade" numFmtId="0">
      <sharedItems containsSemiMixedTypes="0" containsString="0" containsNumber="1" containsInteger="1">
        <n v="5.0"/>
        <n v="3.0"/>
        <n v="2.0"/>
        <n v="1.0"/>
        <n v="9.0"/>
        <n v="4.0"/>
        <n v="6.0"/>
      </sharedItems>
    </cacheField>
    <cacheField name="Valor" numFmtId="165">
      <sharedItems containsSemiMixedTypes="0" containsString="0" containsNumber="1">
        <n v="25.9"/>
        <n v="10.5"/>
        <n v="45.0"/>
        <n v="19.5"/>
        <n v="3.0"/>
        <n v="18.59"/>
        <n v="10.89"/>
        <n v="5.99"/>
        <n v="6.0"/>
        <n v="25.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B12" firstHeaderRow="0" firstDataRow="1" firstDataCol="0"/>
  <pivotFields>
    <pivotField name="Data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dade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o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dataFields>
    <dataField name="SUM of Quantidade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5"/>
    <col customWidth="1" min="7" max="7" width="15.25"/>
    <col customWidth="1" min="8" max="8" width="18.63"/>
  </cols>
  <sheetData>
    <row r="1">
      <c r="A1" s="1" t="s">
        <v>2</v>
      </c>
      <c r="B1" s="1" t="s">
        <v>15</v>
      </c>
      <c r="C1" s="1" t="s">
        <v>17</v>
      </c>
      <c r="D1" s="1" t="s">
        <v>7</v>
      </c>
      <c r="F1" s="11" t="s">
        <v>21</v>
      </c>
      <c r="G1" s="4"/>
      <c r="H1" s="6"/>
    </row>
    <row r="2">
      <c r="A2" s="12">
        <v>46217.0</v>
      </c>
      <c r="B2" s="2" t="s">
        <v>28</v>
      </c>
      <c r="C2" s="2" t="s">
        <v>29</v>
      </c>
      <c r="D2" s="13">
        <v>150.0</v>
      </c>
      <c r="F2" s="15" t="s">
        <v>31</v>
      </c>
      <c r="G2" s="15" t="s">
        <v>32</v>
      </c>
      <c r="H2" s="15" t="s">
        <v>33</v>
      </c>
    </row>
    <row r="3">
      <c r="A3" s="12">
        <v>46217.0</v>
      </c>
      <c r="B3" s="2" t="s">
        <v>34</v>
      </c>
      <c r="C3" s="2" t="s">
        <v>35</v>
      </c>
      <c r="D3" s="7">
        <v>80.0</v>
      </c>
      <c r="F3" s="17">
        <f>SUM(D2:D6)</f>
        <v>399.9</v>
      </c>
      <c r="G3" s="17">
        <f>MEDIAN(D2:D6)</f>
        <v>80</v>
      </c>
      <c r="H3" s="17">
        <f>SUMIF(C2:D6,"Alimentação",D2:D6)</f>
        <v>175</v>
      </c>
    </row>
    <row r="4">
      <c r="A4" s="12">
        <v>46218.0</v>
      </c>
      <c r="B4" s="2" t="s">
        <v>42</v>
      </c>
      <c r="C4" s="2" t="s">
        <v>43</v>
      </c>
      <c r="D4" s="13">
        <v>99.9</v>
      </c>
    </row>
    <row r="5">
      <c r="A5" s="12">
        <v>46218.0</v>
      </c>
      <c r="B5" s="2" t="s">
        <v>44</v>
      </c>
      <c r="C5" s="2" t="s">
        <v>45</v>
      </c>
      <c r="D5" s="7">
        <v>45.0</v>
      </c>
    </row>
    <row r="6">
      <c r="A6" s="12">
        <v>46219.0</v>
      </c>
      <c r="B6" s="2" t="s">
        <v>46</v>
      </c>
      <c r="C6" s="2" t="s">
        <v>29</v>
      </c>
      <c r="D6" s="7">
        <v>25.0</v>
      </c>
    </row>
  </sheetData>
  <mergeCells count="1">
    <mergeCell ref="F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1">
      <c r="A1" s="1" t="s">
        <v>1</v>
      </c>
      <c r="B1" s="1" t="s">
        <v>11</v>
      </c>
      <c r="C1" s="1" t="s">
        <v>12</v>
      </c>
      <c r="D1" s="1" t="s">
        <v>14</v>
      </c>
      <c r="E1" s="1" t="s">
        <v>16</v>
      </c>
      <c r="F1" s="1" t="s">
        <v>18</v>
      </c>
    </row>
    <row r="2">
      <c r="A2" s="2" t="s">
        <v>22</v>
      </c>
      <c r="B2" s="2">
        <v>7.0</v>
      </c>
      <c r="C2" s="2">
        <v>8.0</v>
      </c>
      <c r="D2" s="2">
        <v>9.0</v>
      </c>
      <c r="E2" s="16">
        <f t="shared" ref="E2:E5" si="1">MEDIAN(B2:D2)</f>
        <v>8</v>
      </c>
      <c r="F2" s="16" t="str">
        <f t="shared" ref="F2:F5" si="2">IF(E2&gt;=7,"Aprovado","Recuperação")</f>
        <v>Aprovado</v>
      </c>
    </row>
    <row r="3">
      <c r="A3" s="2" t="s">
        <v>36</v>
      </c>
      <c r="B3" s="2">
        <v>5.0</v>
      </c>
      <c r="C3" s="2">
        <v>6.0</v>
      </c>
      <c r="D3" s="2">
        <v>5.0</v>
      </c>
      <c r="E3" s="16">
        <f t="shared" si="1"/>
        <v>5</v>
      </c>
      <c r="F3" s="16" t="str">
        <f t="shared" si="2"/>
        <v>Recuperação</v>
      </c>
    </row>
    <row r="4">
      <c r="A4" s="2" t="s">
        <v>40</v>
      </c>
      <c r="B4" s="2">
        <v>9.0</v>
      </c>
      <c r="C4" s="2">
        <v>9.0</v>
      </c>
      <c r="D4" s="2">
        <v>10.0</v>
      </c>
      <c r="E4" s="16">
        <f t="shared" si="1"/>
        <v>9</v>
      </c>
      <c r="F4" s="16" t="str">
        <f t="shared" si="2"/>
        <v>Aprovado</v>
      </c>
    </row>
    <row r="5">
      <c r="A5" s="2" t="s">
        <v>41</v>
      </c>
      <c r="B5" s="2">
        <v>4.0</v>
      </c>
      <c r="C5" s="2">
        <v>5.0</v>
      </c>
      <c r="D5" s="2">
        <v>6.0</v>
      </c>
      <c r="E5" s="16">
        <f t="shared" si="1"/>
        <v>5</v>
      </c>
      <c r="F5" s="16" t="str">
        <f t="shared" si="2"/>
        <v>Recuperação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F1" s="3" t="s">
        <v>5</v>
      </c>
      <c r="G1" s="4"/>
      <c r="H1" s="6"/>
    </row>
    <row r="2">
      <c r="A2" s="2" t="s">
        <v>9</v>
      </c>
      <c r="B2" s="2" t="s">
        <v>8</v>
      </c>
      <c r="C2" s="7">
        <v>25.9</v>
      </c>
      <c r="F2" s="8" t="s">
        <v>0</v>
      </c>
      <c r="G2" s="8" t="s">
        <v>3</v>
      </c>
      <c r="H2" s="8" t="s">
        <v>4</v>
      </c>
    </row>
    <row r="3">
      <c r="A3" s="2" t="s">
        <v>20</v>
      </c>
      <c r="B3" s="2" t="s">
        <v>10</v>
      </c>
      <c r="C3" s="7">
        <v>10.5</v>
      </c>
      <c r="F3" s="14" t="str">
        <f>VLOOKUP(A2,A2:A5,1,FALSE)</f>
        <v>A001</v>
      </c>
      <c r="G3" s="14" t="str">
        <f>VLOOKUP(A2,A2:C5,2,false)</f>
        <v>Arroz</v>
      </c>
      <c r="H3" s="18">
        <f>VLOOKUP(A2,A2:C5,3,false)</f>
        <v>25.9</v>
      </c>
    </row>
    <row r="4">
      <c r="A4" s="2" t="s">
        <v>37</v>
      </c>
      <c r="B4" s="2" t="s">
        <v>13</v>
      </c>
      <c r="C4" s="7">
        <v>45.0</v>
      </c>
    </row>
    <row r="5">
      <c r="A5" s="2" t="s">
        <v>38</v>
      </c>
      <c r="B5" s="2" t="s">
        <v>39</v>
      </c>
      <c r="C5" s="7">
        <v>6.9</v>
      </c>
    </row>
  </sheetData>
  <mergeCells count="1">
    <mergeCell ref="F1: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2" t="s">
        <v>2</v>
      </c>
      <c r="B1" s="2" t="s">
        <v>3</v>
      </c>
      <c r="C1" s="2" t="s">
        <v>6</v>
      </c>
      <c r="D1" s="2" t="s">
        <v>7</v>
      </c>
    </row>
    <row r="2">
      <c r="A2" s="5">
        <v>46204.0</v>
      </c>
      <c r="B2" s="2" t="s">
        <v>8</v>
      </c>
      <c r="C2" s="2">
        <v>5.0</v>
      </c>
      <c r="D2" s="7">
        <v>25.9</v>
      </c>
    </row>
    <row r="3">
      <c r="A3" s="5">
        <v>46205.0</v>
      </c>
      <c r="B3" s="2" t="s">
        <v>10</v>
      </c>
      <c r="C3" s="2">
        <v>3.0</v>
      </c>
      <c r="D3" s="7">
        <v>10.5</v>
      </c>
    </row>
    <row r="4">
      <c r="A4" s="5">
        <v>46206.0</v>
      </c>
      <c r="B4" s="2" t="s">
        <v>13</v>
      </c>
      <c r="C4" s="2">
        <v>2.0</v>
      </c>
      <c r="D4" s="7">
        <v>45.0</v>
      </c>
    </row>
    <row r="5">
      <c r="A5" s="5">
        <v>46207.0</v>
      </c>
      <c r="B5" s="9" t="s">
        <v>19</v>
      </c>
      <c r="C5" s="9">
        <v>1.0</v>
      </c>
      <c r="D5" s="10">
        <v>19.5</v>
      </c>
    </row>
    <row r="6">
      <c r="A6" s="5">
        <v>46208.0</v>
      </c>
      <c r="B6" s="9" t="s">
        <v>23</v>
      </c>
      <c r="C6" s="9">
        <v>9.0</v>
      </c>
      <c r="D6" s="10">
        <v>3.0</v>
      </c>
    </row>
    <row r="7">
      <c r="A7" s="5">
        <v>46209.0</v>
      </c>
      <c r="B7" s="9" t="s">
        <v>24</v>
      </c>
      <c r="C7" s="9">
        <v>2.0</v>
      </c>
      <c r="D7" s="10">
        <v>18.59</v>
      </c>
    </row>
    <row r="8">
      <c r="A8" s="5">
        <v>46210.0</v>
      </c>
      <c r="B8" s="9" t="s">
        <v>25</v>
      </c>
      <c r="C8" s="9">
        <v>2.0</v>
      </c>
      <c r="D8" s="10">
        <v>10.89</v>
      </c>
    </row>
    <row r="9">
      <c r="A9" s="5">
        <v>46211.0</v>
      </c>
      <c r="B9" s="9" t="s">
        <v>26</v>
      </c>
      <c r="C9" s="9">
        <v>4.0</v>
      </c>
      <c r="D9" s="10">
        <v>5.99</v>
      </c>
    </row>
    <row r="10">
      <c r="A10" s="5">
        <v>46212.0</v>
      </c>
      <c r="B10" s="9" t="s">
        <v>27</v>
      </c>
      <c r="C10" s="9">
        <v>6.0</v>
      </c>
      <c r="D10" s="10">
        <v>6.0</v>
      </c>
    </row>
    <row r="11">
      <c r="A11" s="5">
        <v>46213.0</v>
      </c>
      <c r="B11" s="9" t="s">
        <v>30</v>
      </c>
      <c r="C11" s="9">
        <v>2.0</v>
      </c>
      <c r="D11" s="10">
        <v>25.56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47</v>
      </c>
      <c r="B1" s="19" t="s">
        <v>48</v>
      </c>
      <c r="C1" s="19" t="s">
        <v>49</v>
      </c>
      <c r="D1" s="19" t="s">
        <v>50</v>
      </c>
      <c r="E1" s="19" t="s">
        <v>51</v>
      </c>
    </row>
    <row r="2">
      <c r="A2" s="19" t="s">
        <v>52</v>
      </c>
      <c r="B2" s="19">
        <v>10000.0</v>
      </c>
      <c r="C2" s="19">
        <v>8500.0</v>
      </c>
      <c r="D2" s="16">
        <f t="shared" ref="D2:D6" si="1">C2/B2*100 </f>
        <v>85</v>
      </c>
      <c r="E2" s="20" t="str">
        <f t="shared" ref="E2:E6" si="2">IF(D2&gt;100,"✅ Atingido","❌ Abaixo")</f>
        <v>❌ Abaixo</v>
      </c>
    </row>
    <row r="3">
      <c r="A3" s="19" t="s">
        <v>53</v>
      </c>
      <c r="B3" s="19">
        <v>12000.0</v>
      </c>
      <c r="C3" s="19">
        <v>13200.0</v>
      </c>
      <c r="D3" s="16">
        <f t="shared" si="1"/>
        <v>110</v>
      </c>
      <c r="E3" s="20" t="str">
        <f t="shared" si="2"/>
        <v>✅ Atingido</v>
      </c>
    </row>
    <row r="4">
      <c r="A4" s="19" t="s">
        <v>54</v>
      </c>
      <c r="B4" s="19">
        <v>11000.0</v>
      </c>
      <c r="C4" s="19">
        <v>9900.0</v>
      </c>
      <c r="D4" s="16">
        <f t="shared" si="1"/>
        <v>90</v>
      </c>
      <c r="E4" s="20" t="str">
        <f t="shared" si="2"/>
        <v>❌ Abaixo</v>
      </c>
    </row>
    <row r="5">
      <c r="A5" s="19" t="s">
        <v>55</v>
      </c>
      <c r="B5" s="19">
        <v>15000.0</v>
      </c>
      <c r="C5" s="19">
        <v>15000.0</v>
      </c>
      <c r="D5" s="16">
        <f t="shared" si="1"/>
        <v>100</v>
      </c>
      <c r="E5" s="20" t="str">
        <f t="shared" si="2"/>
        <v>❌ Abaixo</v>
      </c>
    </row>
    <row r="6">
      <c r="A6" s="19" t="s">
        <v>56</v>
      </c>
      <c r="B6" s="19">
        <v>13000.0</v>
      </c>
      <c r="C6" s="19">
        <v>11000.0</v>
      </c>
      <c r="D6" s="21">
        <f t="shared" si="1"/>
        <v>84.61538462</v>
      </c>
      <c r="E6" s="20" t="str">
        <f t="shared" si="2"/>
        <v>❌ Abaixo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